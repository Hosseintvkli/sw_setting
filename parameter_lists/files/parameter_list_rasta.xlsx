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codes\parameter_lists\files\"/>
    </mc:Choice>
  </mc:AlternateContent>
  <xr:revisionPtr revIDLastSave="0" documentId="13_ncr:1_{41F30DE7-7CA6-40AB-A378-8A2A749A584E}" xr6:coauthVersionLast="47" xr6:coauthVersionMax="47" xr10:uidLastSave="{00000000-0000-0000-0000-000000000000}"/>
  <bookViews>
    <workbookView xWindow="-98" yWindow="-98" windowWidth="21795" windowHeight="12975" tabRatio="724" firstSheet="3" activeTab="3" xr2:uid="{00000000-000D-0000-FFFF-FFFF00000000}"/>
  </bookViews>
  <sheets>
    <sheet name="Internal" sheetId="2" r:id="rId1"/>
    <sheet name="Info" sheetId="14" r:id="rId2"/>
    <sheet name="DefaultUnit" sheetId="52" r:id="rId3"/>
    <sheet name="ParameterList" sheetId="4" r:id="rId4"/>
    <sheet name="eTag1_SettingGroup" sheetId="51" r:id="rId5"/>
    <sheet name="sProfilerData" sheetId="64" r:id="rId6"/>
    <sheet name="sProfilerSetting" sheetId="65" r:id="rId7"/>
    <sheet name="sCalcDebugSignal" sheetId="69" r:id="rId8"/>
    <sheet name="sCalcGeneralData" sheetId="67" r:id="rId9"/>
    <sheet name="sCalcGeneralSetting" sheetId="68" r:id="rId10"/>
    <sheet name="sBoardStartupReport" sheetId="55" r:id="rId11"/>
    <sheet name="sBoardStartupReportItem" sheetId="56" r:id="rId12"/>
    <sheet name="sSensorGyroBmi088Data" sheetId="19" r:id="rId13"/>
    <sheet name="sSensorGyroBmi088Setting" sheetId="29" r:id="rId14"/>
    <sheet name="sSensorAccBmi088Data" sheetId="46" r:id="rId15"/>
    <sheet name="sSensorAccBmi088Setting" sheetId="47" r:id="rId16"/>
    <sheet name="sSensorAccAdxl357Data" sheetId="20" r:id="rId17"/>
    <sheet name="sSensorAccAdxl357Setting" sheetId="30" r:id="rId18"/>
    <sheet name="sSensorCalibCoefA" sheetId="16" r:id="rId19"/>
    <sheet name="sSensorCalibCoefB" sheetId="18" r:id="rId20"/>
    <sheet name="sOutputCalibCoef" sheetId="21" r:id="rId21"/>
    <sheet name="s3d" sheetId="35" r:id="rId22"/>
    <sheet name="s3dI32" sheetId="48" r:id="rId23"/>
    <sheet name="s3dI16" sheetId="66" r:id="rId24"/>
    <sheet name="sFilterSetting" sheetId="49" r:id="rId25"/>
    <sheet name="eFilterType" sheetId="41" r:id="rId26"/>
    <sheet name="eSyncMode" sheetId="43" r:id="rId27"/>
    <sheet name="ePinSelection" sheetId="58" r:id="rId28"/>
    <sheet name="eDataReadyPolarity" sheetId="59" r:id="rId29"/>
    <sheet name="eSyncPolarity" sheetId="60" r:id="rId30"/>
    <sheet name="eConnectedDeviceHostMode" sheetId="61" r:id="rId31"/>
    <sheet name="sPrtlRasta" sheetId="63" r:id="rId32"/>
  </sheets>
  <definedNames>
    <definedName name="_xlnm._FilterDatabase" localSheetId="3" hidden="1">ParameterList!$A$1:$M$107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</calcChain>
</file>

<file path=xl/sharedStrings.xml><?xml version="1.0" encoding="utf-8"?>
<sst xmlns="http://schemas.openxmlformats.org/spreadsheetml/2006/main" count="1113" uniqueCount="344">
  <si>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</si>
  <si>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</si>
  <si>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</si>
  <si>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</si>
  <si>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</si>
  <si>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</si>
  <si>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</si>
  <si>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</si>
  <si>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</si>
  <si>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</si>
  <si>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</si>
  <si>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I16</t>
  </si>
  <si>
    <t>U32</t>
  </si>
  <si>
    <t>I32</t>
  </si>
  <si>
    <t>U64</t>
  </si>
  <si>
    <t>F32</t>
  </si>
  <si>
    <t>F64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</si>
  <si>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</si>
  <si>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</si>
  <si>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</si>
  <si>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</si>
  <si>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</si>
  <si>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FwVersionMajor</t>
  </si>
  <si>
    <t>FwVersionMinor</t>
  </si>
  <si>
    <t>FwVersionBuild1</t>
  </si>
  <si>
    <t>FwVersionBuild2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</si>
  <si>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</si>
  <si>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</si>
  <si>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</si>
  <si>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</si>
  <si>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</si>
  <si>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MONITORING (R)</t>
  </si>
  <si>
    <t>ModbusExt node slave id</t>
  </si>
  <si>
    <t>Parameter Type</t>
  </si>
  <si>
    <t>Data Type</t>
  </si>
  <si>
    <t>Array
Size</t>
  </si>
  <si>
    <t>Name</t>
  </si>
  <si>
    <t>Value</t>
  </si>
  <si>
    <t>MatchMatrix</t>
  </si>
  <si>
    <t>Sx</t>
  </si>
  <si>
    <t>Sy</t>
  </si>
  <si>
    <t>Sz</t>
  </si>
  <si>
    <t>Bx</t>
  </si>
  <si>
    <t>By</t>
  </si>
  <si>
    <t>Bz</t>
  </si>
  <si>
    <t>Fifo_DataA</t>
  </si>
  <si>
    <t>Fifo_DataB</t>
  </si>
  <si>
    <t>Fifo_Len</t>
  </si>
  <si>
    <t>Temperature</t>
  </si>
  <si>
    <t>Active</t>
  </si>
  <si>
    <t>Data</t>
  </si>
  <si>
    <t>Info</t>
  </si>
  <si>
    <t>COMMAND (W)</t>
  </si>
  <si>
    <t>DownStreamBaudrate</t>
  </si>
  <si>
    <t>UpStreamBaudrate</t>
  </si>
  <si>
    <t>UpStreamSendFrameQty</t>
  </si>
  <si>
    <t>UpStreamEnqueuedFrameQty</t>
  </si>
  <si>
    <t>UpStreamEnqueueFailedFrameQty</t>
  </si>
  <si>
    <t>UpStreamSendFrameHandleExecutionTimeUs</t>
  </si>
  <si>
    <t>DownStreamsStartAddr</t>
  </si>
  <si>
    <t>UpStreamDelayBetweenFrameUs</t>
  </si>
  <si>
    <t>BinterpolBx</t>
  </si>
  <si>
    <t>BinterpolBy</t>
  </si>
  <si>
    <t>BinterpolBz</t>
  </si>
  <si>
    <t>Range</t>
  </si>
  <si>
    <t>Odr</t>
  </si>
  <si>
    <t>Enable</t>
  </si>
  <si>
    <t>X</t>
  </si>
  <si>
    <t>Y</t>
  </si>
  <si>
    <t>Z</t>
  </si>
  <si>
    <t>s3d</t>
  </si>
  <si>
    <t>Gyro</t>
  </si>
  <si>
    <t>Acc</t>
  </si>
  <si>
    <t>SensorGyro</t>
  </si>
  <si>
    <t>SensorAcc</t>
  </si>
  <si>
    <t>SensorDecimationRate</t>
  </si>
  <si>
    <t>M_Bx</t>
  </si>
  <si>
    <t>M_By</t>
  </si>
  <si>
    <t>M_Bz</t>
  </si>
  <si>
    <t>Gxy</t>
  </si>
  <si>
    <t>Gyx</t>
  </si>
  <si>
    <t>Gxz</t>
  </si>
  <si>
    <t>Gzx</t>
  </si>
  <si>
    <t>Gyz</t>
  </si>
  <si>
    <t>Gzy</t>
  </si>
  <si>
    <t>sOutputCalibCoef</t>
  </si>
  <si>
    <t>eFILTER_TYPE_A</t>
  </si>
  <si>
    <t>eFILTER_TYPE_NONE</t>
  </si>
  <si>
    <t>eFILTER_TYPE_B</t>
  </si>
  <si>
    <t>eFILTER_TYPE_C</t>
  </si>
  <si>
    <t>eSYNC_MODE_INTERNAL</t>
  </si>
  <si>
    <t>eSYNC_MODE_EXTERNAL</t>
  </si>
  <si>
    <t>SyncMode</t>
  </si>
  <si>
    <t>DataReadyErrorCounter</t>
  </si>
  <si>
    <t>s3dI32</t>
  </si>
  <si>
    <t>SensorCalibCoefBank</t>
  </si>
  <si>
    <t>GyroCalibCoef</t>
  </si>
  <si>
    <t>AccCalibCoef</t>
  </si>
  <si>
    <t>eFILTER_TYPE_D</t>
  </si>
  <si>
    <t>FilterSetting</t>
  </si>
  <si>
    <t>FactoryGyroCalibCoef</t>
  </si>
  <si>
    <t>FactoryAccCalibCoef</t>
  </si>
  <si>
    <t>Dps</t>
  </si>
  <si>
    <t>Degree Per Second</t>
  </si>
  <si>
    <t>G</t>
  </si>
  <si>
    <t>Degree</t>
  </si>
  <si>
    <t>Celsius</t>
  </si>
  <si>
    <t>RotationAngleRadian</t>
  </si>
  <si>
    <t>RotationTuneRadian</t>
  </si>
  <si>
    <t>sFilterSetting</t>
  </si>
  <si>
    <t>IdentifyStatus</t>
  </si>
  <si>
    <t>HwVersionMajor</t>
  </si>
  <si>
    <t>HwVersionMinor</t>
  </si>
  <si>
    <t>1 : Identify Started - 0 : Identify End</t>
  </si>
  <si>
    <t>Parameter</t>
  </si>
  <si>
    <t>Default Unit</t>
  </si>
  <si>
    <t>Angle</t>
  </si>
  <si>
    <t>Acceleration</t>
  </si>
  <si>
    <t>AngularVelocity</t>
  </si>
  <si>
    <t>Standard G - 9.80665</t>
  </si>
  <si>
    <t>another term for Centigrade</t>
  </si>
  <si>
    <t>Gyro_0_X_FilterType</t>
  </si>
  <si>
    <t>Gyro_0_Y_FilterType</t>
  </si>
  <si>
    <t>Gyro_0_Z_FilterType</t>
  </si>
  <si>
    <t>Gyro_1_X_FilterType</t>
  </si>
  <si>
    <t>Gyro_1_Y_FilterType</t>
  </si>
  <si>
    <t>Gyro_1_Z_FilterType</t>
  </si>
  <si>
    <t>Acc_0_X_FilterType</t>
  </si>
  <si>
    <t>Acc_0_Y_FilterType</t>
  </si>
  <si>
    <t>Acc_0_Z_FilterType</t>
  </si>
  <si>
    <t>Acc_1_X_FilterType</t>
  </si>
  <si>
    <t>Acc_1_Y_FilterType</t>
  </si>
  <si>
    <t>Acc_1_Z_FilterType</t>
  </si>
  <si>
    <t>eFilterType</t>
  </si>
  <si>
    <t>ConfigResult</t>
  </si>
  <si>
    <t>SensorGyroEnable</t>
  </si>
  <si>
    <t>SensorAccEnable</t>
  </si>
  <si>
    <t>Decription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</si>
  <si>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</si>
  <si>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</si>
  <si>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</si>
  <si>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</si>
  <si>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</si>
  <si>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</si>
  <si>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Adxl357</t>
  </si>
  <si>
    <t>sSensorGyroBmi088Data</t>
  </si>
  <si>
    <t>sSensorGyroBmi088Setting</t>
  </si>
  <si>
    <t>sSensorAccBmi088Data</t>
  </si>
  <si>
    <t>sSensorAccBmi088Setting</t>
  </si>
  <si>
    <t>sSensorAccAdxl357Data</t>
  </si>
  <si>
    <t>sSensorAccAdxl357Setting</t>
  </si>
  <si>
    <t>Bmi088Gyro_Data</t>
  </si>
  <si>
    <t>Bmi088Acc_Data</t>
  </si>
  <si>
    <t>Adxl357_Data</t>
  </si>
  <si>
    <t>Bmi088Gyro_Setting</t>
  </si>
  <si>
    <t>Bmi088Acc_Setting</t>
  </si>
  <si>
    <t>Adxl357_Setting</t>
  </si>
  <si>
    <t>Bmi088Gyro</t>
  </si>
  <si>
    <t>Bmi088Acc</t>
  </si>
  <si>
    <t>DataReadyPolarity</t>
  </si>
  <si>
    <t>SyncPolarity</t>
  </si>
  <si>
    <t>ProductionYear</t>
  </si>
  <si>
    <t>ProductionMonth</t>
  </si>
  <si>
    <t>ProductionDay</t>
  </si>
  <si>
    <t>ePIN_IO1</t>
  </si>
  <si>
    <t>ePIN_NONE</t>
  </si>
  <si>
    <t>ePIN_IO2</t>
  </si>
  <si>
    <t>ePIN_IO3</t>
  </si>
  <si>
    <t>ePIN_IO4</t>
  </si>
  <si>
    <t>eDATA_READY_POLARITY_POSITIVE</t>
  </si>
  <si>
    <t>eDATA_READY_POLARITY_NEGATIVE</t>
  </si>
  <si>
    <t>eSYNC_RISING_EDGE</t>
  </si>
  <si>
    <t>eSYNC_FALLING_EDGE</t>
  </si>
  <si>
    <t>eSyncMode</t>
  </si>
  <si>
    <t>eDataReadyPolarity</t>
  </si>
  <si>
    <t>eSyncPolarity</t>
  </si>
  <si>
    <t>WatchdogTimeMs</t>
  </si>
  <si>
    <t>ResetSource</t>
  </si>
  <si>
    <t>Based on i_system definition</t>
  </si>
  <si>
    <t>OutputStabilizationCycleQty</t>
  </si>
  <si>
    <t>ChipStabilizationCycleQty</t>
  </si>
  <si>
    <t>LowByte : Error / HighByte : LatchedError</t>
  </si>
  <si>
    <t>This time is started from first run of calculation. This time is based on CalcFreqHz</t>
  </si>
  <si>
    <t>OutputBootTimeMs</t>
  </si>
  <si>
    <t>0 : Disable watchdog</t>
  </si>
  <si>
    <t>OutputDecimationRate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</si>
  <si>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</si>
  <si>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</si>
  <si>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</si>
  <si>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</si>
  <si>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</si>
  <si>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</si>
  <si>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</si>
  <si>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</si>
  <si>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</si>
  <si>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</si>
  <si>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</si>
  <si>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</si>
  <si>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</si>
  <si>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</si>
  <si>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</si>
  <si>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</si>
  <si>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This time is from boot of mcu to first available output value.</t>
  </si>
  <si>
    <t>eHOST_MODE_NORMAL</t>
  </si>
  <si>
    <t>eHOST_MODE_GATEWAY</t>
  </si>
  <si>
    <t>ModbusExt to device protocol (for example spi) gateway</t>
  </si>
  <si>
    <t>OutputCounter</t>
  </si>
  <si>
    <t>rasta</t>
  </si>
  <si>
    <t>1000</t>
  </si>
  <si>
    <t>SendFrameEnable</t>
  </si>
  <si>
    <t>DeviceFrameId</t>
  </si>
  <si>
    <t>DownStreamsSettingSize</t>
  </si>
  <si>
    <t>OdrBw</t>
  </si>
  <si>
    <t>TempScaleLimit</t>
  </si>
  <si>
    <t>GyroScaleLimit</t>
  </si>
  <si>
    <t>AccScaleLimit</t>
  </si>
  <si>
    <t>TempSaturationLimit</t>
  </si>
  <si>
    <t>GyroSaturationLimit</t>
  </si>
  <si>
    <t>AccSaturationLimit</t>
  </si>
  <si>
    <t>ParameterListVersion</t>
  </si>
  <si>
    <t>SaveInfo</t>
  </si>
  <si>
    <t>SaveModbusExt</t>
  </si>
  <si>
    <t>SaveHardwareConfiguration</t>
  </si>
  <si>
    <t>SaveFunctional</t>
  </si>
  <si>
    <t>SaveSensorCalibCoef</t>
  </si>
  <si>
    <t>SaveOutputCalibCoef</t>
  </si>
  <si>
    <t>SaveOutputRotation</t>
  </si>
  <si>
    <t>StreamingEnableCmd</t>
  </si>
  <si>
    <t>StreamingDisableCmd</t>
  </si>
  <si>
    <t>ReadTimingErrorCounter</t>
  </si>
  <si>
    <t>ConnectionRetry</t>
  </si>
  <si>
    <t>ConnectionTimeUs</t>
  </si>
  <si>
    <t>ConfigRetry</t>
  </si>
  <si>
    <t>ConfigTimeUs</t>
  </si>
  <si>
    <t>BoardStartupRetryDelayMs</t>
  </si>
  <si>
    <t>BoardStartupRetryQty</t>
  </si>
  <si>
    <t>SummaryStatus</t>
  </si>
  <si>
    <t>RappMain</t>
  </si>
  <si>
    <t>RestoreDefaultValue</t>
  </si>
  <si>
    <t>FifoResetEvent</t>
  </si>
  <si>
    <t>SaveAll</t>
  </si>
  <si>
    <t>sPrtlRasta</t>
  </si>
  <si>
    <t>PrtlRastaSetting</t>
  </si>
  <si>
    <t>Default
Value</t>
  </si>
  <si>
    <t>SyncMaxAllowedJitterUs</t>
  </si>
  <si>
    <t>SyncTimingStatus</t>
  </si>
  <si>
    <t>SyncIntervalUs</t>
  </si>
  <si>
    <t>Bmi088GyroArray_ReadTimeOut</t>
  </si>
  <si>
    <t>(uint16_t)CDRV_BMI088_GYRO_RANGE_2000</t>
  </si>
  <si>
    <t>(uint16_t)CDRV_BMI088_GYRO_ODR2000_BWP230</t>
  </si>
  <si>
    <t>(uint16_t)CDRV_BMI088_ACC_RANGE_12G</t>
  </si>
  <si>
    <t>(uint16_t)CDRV_BMI088_ACC_ODR1600_BWP280</t>
  </si>
  <si>
    <t>(uint16_t)ADXL357_CMD_ODR_2KHZ</t>
  </si>
  <si>
    <t>(uint16_t)ADXL357_CMD_RANGE_40G</t>
  </si>
  <si>
    <t>sProfilerData</t>
  </si>
  <si>
    <t>sProfilerSetting</t>
  </si>
  <si>
    <t>IntervalTimeUs</t>
  </si>
  <si>
    <t>IntervalTimeMaximaUs</t>
  </si>
  <si>
    <t>IntervalTimeMinimaUs</t>
  </si>
  <si>
    <t>IntervalTimeLimitExceedCounter</t>
  </si>
  <si>
    <t>IntervalTimingError</t>
  </si>
  <si>
    <t>ExecutionTimeMaximaUs</t>
  </si>
  <si>
    <t>ExecutionTimeMinimaUs</t>
  </si>
  <si>
    <t>RunCounter</t>
  </si>
  <si>
    <t>IntervalTimeNominalUs</t>
  </si>
  <si>
    <t>IntervalTimeMaxAllowedJitterUs</t>
  </si>
  <si>
    <t>s3dI16</t>
  </si>
  <si>
    <t>SensorGyroTemperature</t>
  </si>
  <si>
    <t>SensorGyroI32</t>
  </si>
  <si>
    <t>SensorGyroTemperatureI16</t>
  </si>
  <si>
    <t>SensorGyroI32_Range</t>
  </si>
  <si>
    <t>SensorGyroTemperatureI16_Range</t>
  </si>
  <si>
    <t>SensorAccTemperature</t>
  </si>
  <si>
    <t>SensorAccI32</t>
  </si>
  <si>
    <t>SensorAccTemperatureI16</t>
  </si>
  <si>
    <t>SensorAccI32_Range</t>
  </si>
  <si>
    <t>SensorAccTemperatureI16_Range</t>
  </si>
  <si>
    <t>Modbus Addr Constraint</t>
  </si>
  <si>
    <t>Profiler</t>
  </si>
  <si>
    <t>VersionMajor</t>
  </si>
  <si>
    <t>VersionMinor</t>
  </si>
  <si>
    <t>VersionBuild1</t>
  </si>
  <si>
    <t>VersionBuild2</t>
  </si>
  <si>
    <t>Status</t>
  </si>
  <si>
    <t>FreqHz</t>
  </si>
  <si>
    <t>CalcGeneralData</t>
  </si>
  <si>
    <t>CalcGeneralSetting</t>
  </si>
  <si>
    <t>sCalcGeneralData</t>
  </si>
  <si>
    <t>sCalcGeneralSetting</t>
  </si>
  <si>
    <t>CalcDebugSignal</t>
  </si>
  <si>
    <t>CalcDebugControlSignal</t>
  </si>
  <si>
    <t>sCalcDebugSignal</t>
  </si>
  <si>
    <t>eSETTING_INFO</t>
  </si>
  <si>
    <t>eSETTING_MODBUS_EXT</t>
  </si>
  <si>
    <t>eSETTING_HW_CONFIGURATION</t>
  </si>
  <si>
    <t>eSETTING_FUNCTIONAL</t>
  </si>
  <si>
    <t>eSETTING_SENSOR_CALIB_COEF</t>
  </si>
  <si>
    <t>eSETTING_OUTPUT_CALIB_COEF</t>
  </si>
  <si>
    <t>eSETTING_OUTPUT_ROTATION</t>
  </si>
  <si>
    <t>Group</t>
  </si>
  <si>
    <t>Tag1</t>
  </si>
  <si>
    <t>Tag2</t>
  </si>
  <si>
    <t>Tag3</t>
  </si>
  <si>
    <t>Tag4</t>
  </si>
  <si>
    <t>Tag5</t>
  </si>
  <si>
    <t>RappBaseParameterList</t>
  </si>
  <si>
    <t>RappBaseSystem</t>
  </si>
  <si>
    <t>RappModbusExtEvents</t>
  </si>
  <si>
    <t>RappBaseBoardStartup</t>
  </si>
  <si>
    <t>RappPrtlRasta</t>
  </si>
  <si>
    <t>RappModbusSlave</t>
  </si>
  <si>
    <t>RappPrtlStreamer</t>
  </si>
  <si>
    <t>RappSerialExpander</t>
  </si>
  <si>
    <t>ShodowHoldingRegister</t>
  </si>
  <si>
    <t>ShodowHoldingRegisterConfig</t>
  </si>
  <si>
    <t>StreamerEnable</t>
  </si>
  <si>
    <t>StreamerExtendedHeaderEnable</t>
  </si>
  <si>
    <t>StreamerInternalClockIntervalMs</t>
  </si>
  <si>
    <t>StreamerPrescaler</t>
  </si>
  <si>
    <t>StreamerParameterIds</t>
  </si>
  <si>
    <t>StreamerIntervalUs</t>
  </si>
  <si>
    <t>StreamerFrameCounter</t>
  </si>
  <si>
    <t>StreamerParameterQty</t>
  </si>
  <si>
    <t>StreamerFrameGenerationExecutionTimeUs</t>
  </si>
  <si>
    <t>MemoryRetryQty</t>
  </si>
  <si>
    <t>MemoryRetryDelayMs</t>
  </si>
  <si>
    <t>LoadAll</t>
  </si>
  <si>
    <t>LoadInfo</t>
  </si>
  <si>
    <t>LoadModbusExt</t>
  </si>
  <si>
    <t>LoadHardwareConfiguration</t>
  </si>
  <si>
    <t>LoadFunctional</t>
  </si>
  <si>
    <t>LoadSensorCalibCoef</t>
  </si>
  <si>
    <t>LoadOutputCalibCoef</t>
  </si>
  <si>
    <t>LoadOutputRotation</t>
  </si>
  <si>
    <t>LoadWithForceAll</t>
  </si>
  <si>
    <t>LoadWithForceInfo</t>
  </si>
  <si>
    <t>LoadWithForceModbusExt</t>
  </si>
  <si>
    <t>LoadWithForceFunctional</t>
  </si>
  <si>
    <t>LoadWithForceSensorCalibCoef</t>
  </si>
  <si>
    <t>LoadWithForceOutputCalibCoef</t>
  </si>
  <si>
    <t>LoadWithForceOutputRotation</t>
  </si>
  <si>
    <t>LoadWithForceHardwareConfiguration</t>
  </si>
  <si>
    <t>LoadAllMemoryResult</t>
  </si>
  <si>
    <t>SaveAllMemoryResult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</si>
</sst>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5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0" fillId="0" borderId="2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6" fillId="0" borderId="0" xfId="0" applyFont="1" applyAlignment="1">
      <alignment vertical="center"/>
    </xf>
    <xf numFmtId="0" fontId="0" fillId="0" borderId="3" xfId="0" applyBorder="1" applyAlignment="1" applyProtection="1">
      <alignment horizontal="center" vertical="center"/>
      <protection locked="0"/>
    </xf>
    <xf numFmtId="0" fontId="4" fillId="3" borderId="0" xfId="0" applyFont="1" applyFill="1"/>
    <xf numFmtId="0" fontId="0" fillId="4" borderId="1" xfId="0" applyFill="1" applyBorder="1" applyProtection="1">
      <protection locked="0"/>
    </xf>
    <xf numFmtId="0" fontId="0" fillId="4" borderId="1" xfId="0" applyFill="1" applyBorder="1" applyAlignment="1" applyProtection="1">
      <alignment horizontal="left" vertical="top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0" fontId="0" fillId="4" borderId="1" xfId="0" applyFill="1" applyBorder="1"/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left" vertical="top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 vertical="top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top"/>
      <protection locked="0"/>
    </xf>
    <xf numFmtId="0" fontId="0" fillId="4" borderId="1" xfId="0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2336C"/>
      <color rgb="FFDDB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Relationship Id="rId1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E061-DD8D-48FF-9A27-2E0DA16FDD94}">
  <dimension ref="A1:A9"/>
  <sheetViews>
    <sheetView workbookViewId="0">
      <selection activeCell="O9" sqref="O9"/>
    </sheetView>
  </sheetViews>
  <sheetFormatPr defaultRowHeight="14.25" x14ac:dyDescent="0.45"/>
  <cols>
    <col min="1" max="1" width="16.73046875" bestFit="1" customWidth="1"/>
    <col min="2" max="2" width="6.1328125" customWidth="1"/>
  </cols>
  <sheetData>
    <row r="1" spans="1:1" ht="15.75" x14ac:dyDescent="0.45">
      <c r="A1" s="3" t="s">
        <v>33</v>
      </c>
    </row>
    <row r="2" spans="1:1" s="1" customFormat="1" x14ac:dyDescent="0.45">
      <c r="A2" s="2" t="s">
        <v>19</v>
      </c>
    </row>
    <row r="3" spans="1:1" s="1" customFormat="1" x14ac:dyDescent="0.45">
      <c r="A3" s="2" t="s">
        <v>17</v>
      </c>
    </row>
    <row r="4" spans="1:1" s="1" customFormat="1" x14ac:dyDescent="0.45">
      <c r="A4" s="2" t="s">
        <v>18</v>
      </c>
    </row>
    <row r="5" spans="1:1" s="1" customFormat="1" x14ac:dyDescent="0.45"/>
    <row r="6" spans="1:1" s="1" customFormat="1" x14ac:dyDescent="0.45"/>
    <row r="7" spans="1:1" s="1" customFormat="1" x14ac:dyDescent="0.45"/>
    <row r="8" spans="1:1" s="1" customFormat="1" x14ac:dyDescent="0.45"/>
    <row r="9" spans="1:1" s="1" customFormat="1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32"/>
  <sheetViews>
    <sheetView workbookViewId="0">
      <selection activeCell="B13" sqref="B13"/>
    </sheetView>
  </sheetViews>
  <sheetFormatPr defaultRowHeight="14.25" x14ac:dyDescent="0.45"/>
  <cols>
    <col min="1" max="1" width="23.59765625" bestFit="1" customWidth="1"/>
    <col min="2" max="2" width="19.265625" bestFit="1" customWidth="1"/>
    <col min="3" max="3" width="29.73046875" bestFit="1" customWidth="1"/>
    <col min="7" max="7" width="29.73046875" bestFit="1" customWidth="1"/>
  </cols>
  <sheetData>
    <row r="1" spans="1:7" ht="15.75" x14ac:dyDescent="0.45">
      <c r="A1" s="3" t="s">
        <v>36</v>
      </c>
      <c r="B1" s="3" t="s">
        <v>37</v>
      </c>
      <c r="C1" s="3" t="s">
        <v>137</v>
      </c>
    </row>
    <row r="2" spans="1:7" x14ac:dyDescent="0.45">
      <c r="A2" s="9" t="s">
        <v>36</v>
      </c>
      <c r="B2" s="9" t="s">
        <v>207</v>
      </c>
      <c r="C2" s="19"/>
    </row>
    <row r="3" spans="1:7" x14ac:dyDescent="0.45">
      <c r="A3" s="9" t="s">
        <v>3</v>
      </c>
      <c r="B3" s="15" t="s">
        <v>208</v>
      </c>
      <c r="C3" s="19"/>
    </row>
    <row r="4" spans="1:7" x14ac:dyDescent="0.45">
      <c r="A4" s="9" t="s">
        <v>21</v>
      </c>
      <c r="B4" s="9">
        <v>0</v>
      </c>
      <c r="C4" s="9"/>
    </row>
    <row r="8" spans="1:7" ht="15.75" x14ac:dyDescent="0.45">
      <c r="G8" s="24"/>
    </row>
    <row r="22" spans="7:7" ht="15.75" x14ac:dyDescent="0.45">
      <c r="G22" s="24"/>
    </row>
    <row r="24" spans="7:7" ht="15.75" x14ac:dyDescent="0.45">
      <c r="G24" s="24"/>
    </row>
    <row r="26" spans="7:7" ht="15.75" x14ac:dyDescent="0.45">
      <c r="G26" s="24"/>
    </row>
    <row r="28" spans="7:7" ht="15.75" x14ac:dyDescent="0.45">
      <c r="G28" s="24"/>
    </row>
    <row r="30" spans="7:7" ht="15.75" x14ac:dyDescent="0.45">
      <c r="G30" s="24"/>
    </row>
    <row r="32" spans="7:7" ht="15.75" x14ac:dyDescent="0.45">
      <c r="G32" s="2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667C-3672-4BB9-9F18-C207CC350623}">
  <dimension ref="A1:C5"/>
  <sheetViews>
    <sheetView workbookViewId="0">
      <selection activeCell="C5" sqref="C5"/>
    </sheetView>
  </sheetViews>
  <sheetFormatPr defaultRowHeight="14.25" x14ac:dyDescent="0.45"/>
  <cols>
    <col min="1" max="1" width="22.1328125" bestFit="1" customWidth="1"/>
    <col min="2" max="2" width="12.86328125" bestFit="1" customWidth="1"/>
    <col min="3" max="3" width="26.3984375" bestFit="1" customWidth="1"/>
    <col min="7" max="7" width="11.3984375" bestFit="1" customWidth="1"/>
  </cols>
  <sheetData>
    <row r="1" spans="1:3" ht="15.75" x14ac:dyDescent="0.45">
      <c r="A1" s="3" t="s">
        <v>114</v>
      </c>
      <c r="B1" s="3" t="s">
        <v>115</v>
      </c>
      <c r="C1" s="3" t="s">
        <v>1</v>
      </c>
    </row>
    <row r="2" spans="1:3" x14ac:dyDescent="0.45">
      <c r="A2" s="9" t="s">
        <v>118</v>
      </c>
      <c r="B2" s="9" t="s">
        <v>102</v>
      </c>
      <c r="C2" s="9" t="s">
        <v>103</v>
      </c>
    </row>
    <row r="3" spans="1:3" x14ac:dyDescent="0.45">
      <c r="A3" s="9" t="s">
        <v>117</v>
      </c>
      <c r="B3" s="15" t="s">
        <v>104</v>
      </c>
      <c r="C3" s="15" t="s">
        <v>119</v>
      </c>
    </row>
    <row r="4" spans="1:3" x14ac:dyDescent="0.45">
      <c r="A4" s="9" t="s">
        <v>116</v>
      </c>
      <c r="B4" s="16" t="s">
        <v>105</v>
      </c>
      <c r="C4" s="16"/>
    </row>
    <row r="5" spans="1:3" x14ac:dyDescent="0.45">
      <c r="A5" s="19" t="s">
        <v>48</v>
      </c>
      <c r="B5" s="19" t="s">
        <v>106</v>
      </c>
      <c r="C5" s="19" t="s">
        <v>120</v>
      </c>
    </row>
  </sheetData>
  <hyperlinks>
    <hyperlink ref="B5" r:id="rId1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6A64700C-AE2E-4980-B8E7-A22CCFC09B61}"/>
    <hyperlink ref="C5" r:id="rId2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AD368899-8016-4D4E-AAAF-F65F8498FA3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M144"/>
  <sheetViews>
    <sheetView tabSelected="1" topLeftCell="B1" zoomScaleNormal="100" workbookViewId="0">
      <pane ySplit="1" topLeftCell="A74" activePane="bottomLeft" state="frozen"/>
      <selection pane="bottomLeft" activeCell="I89" sqref="I89"/>
    </sheetView>
  </sheetViews>
  <sheetFormatPr defaultColWidth="9.1328125" defaultRowHeight="14.25" x14ac:dyDescent="0.45"/>
  <cols>
    <col min="1" max="1" width="23.59765625" style="4" bestFit="1" customWidth="1"/>
    <col min="2" max="2" width="62.265625" style="12" bestFit="1" customWidth="1"/>
    <col min="3" max="3" width="21.265625" style="4" bestFit="1" customWidth="1"/>
    <col min="4" max="4" width="30.265625" style="4" bestFit="1" customWidth="1"/>
    <col min="5" max="8" width="10" style="4" customWidth="1"/>
    <col min="9" max="9" width="25.265625" style="11" bestFit="1" customWidth="1"/>
    <col min="10" max="10" width="8.3984375" style="13" bestFit="1" customWidth="1"/>
    <col min="11" max="11" width="12.73046875" style="4" bestFit="1" customWidth="1"/>
    <col min="12" max="12" width="13.59765625" style="26" bestFit="1" customWidth="1"/>
    <col min="13" max="13" width="77" style="23" bestFit="1" customWidth="1"/>
    <col min="14" max="16384" width="9.1328125" style="4"/>
  </cols>
  <sheetData>
    <row r="1" spans="1:13" ht="31.5" x14ac:dyDescent="0.45">
      <c r="A1" s="3" t="s">
        <v>299</v>
      </c>
      <c r="B1" s="3" t="s">
        <v>0</v>
      </c>
      <c r="C1" s="3" t="s">
        <v>33</v>
      </c>
      <c r="D1" s="3" t="s">
        <v>300</v>
      </c>
      <c r="E1" s="3" t="s">
        <v>301</v>
      </c>
      <c r="F1" s="3" t="s">
        <v>302</v>
      </c>
      <c r="G1" s="3" t="s">
        <v>303</v>
      </c>
      <c r="H1" s="3" t="s">
        <v>304</v>
      </c>
      <c r="I1" s="3" t="s">
        <v>34</v>
      </c>
      <c r="J1" s="14" t="s">
        <v>35</v>
      </c>
      <c r="K1" s="14" t="s">
        <v>243</v>
      </c>
      <c r="L1" s="14" t="s">
        <v>277</v>
      </c>
      <c r="M1" s="3" t="s">
        <v>1</v>
      </c>
    </row>
    <row r="2" spans="1:13" x14ac:dyDescent="0.45">
      <c r="A2" s="27" t="s">
        <v>51</v>
      </c>
      <c r="B2" s="28" t="s">
        <v>3</v>
      </c>
      <c r="C2" s="29" t="s">
        <v>31</v>
      </c>
      <c r="D2" s="29"/>
      <c r="E2" s="29"/>
      <c r="F2" s="29"/>
      <c r="G2" s="29"/>
      <c r="H2" s="29"/>
      <c r="I2" s="30" t="s">
        <v>10</v>
      </c>
      <c r="J2" s="31">
        <v>1</v>
      </c>
      <c r="K2" s="29" t="str">
        <f>Info!B3</f>
        <v>1000</v>
      </c>
      <c r="L2" s="7">
        <v>0</v>
      </c>
      <c r="M2" s="5"/>
    </row>
    <row r="3" spans="1:13" x14ac:dyDescent="0.45">
      <c r="A3" s="27" t="s">
        <v>51</v>
      </c>
      <c r="B3" s="28" t="s">
        <v>219</v>
      </c>
      <c r="C3" s="29" t="s">
        <v>31</v>
      </c>
      <c r="D3" s="29"/>
      <c r="E3" s="29"/>
      <c r="F3" s="29"/>
      <c r="G3" s="29"/>
      <c r="H3" s="29"/>
      <c r="I3" s="30" t="s">
        <v>10</v>
      </c>
      <c r="J3" s="31">
        <v>1</v>
      </c>
      <c r="K3" s="29">
        <v>0</v>
      </c>
      <c r="L3" s="7">
        <v>1</v>
      </c>
      <c r="M3" s="5"/>
    </row>
    <row r="4" spans="1:13" x14ac:dyDescent="0.45">
      <c r="A4" s="27" t="s">
        <v>51</v>
      </c>
      <c r="B4" s="28" t="s">
        <v>22</v>
      </c>
      <c r="C4" s="29" t="s">
        <v>31</v>
      </c>
      <c r="D4" s="29"/>
      <c r="E4" s="29"/>
      <c r="F4" s="29"/>
      <c r="G4" s="29"/>
      <c r="H4" s="29"/>
      <c r="I4" s="30" t="s">
        <v>10</v>
      </c>
      <c r="J4" s="31">
        <v>1</v>
      </c>
      <c r="K4" s="29">
        <v>0</v>
      </c>
      <c r="L4" s="7">
        <v>2</v>
      </c>
      <c r="M4" s="5"/>
    </row>
    <row r="5" spans="1:13" x14ac:dyDescent="0.45">
      <c r="A5" s="27" t="s">
        <v>51</v>
      </c>
      <c r="B5" s="28" t="s">
        <v>23</v>
      </c>
      <c r="C5" s="29" t="s">
        <v>31</v>
      </c>
      <c r="D5" s="29"/>
      <c r="E5" s="29"/>
      <c r="F5" s="29"/>
      <c r="G5" s="29"/>
      <c r="H5" s="29"/>
      <c r="I5" s="30" t="s">
        <v>10</v>
      </c>
      <c r="J5" s="31">
        <v>1</v>
      </c>
      <c r="K5" s="29">
        <v>0</v>
      </c>
      <c r="L5" s="7">
        <v>3</v>
      </c>
      <c r="M5" s="5"/>
    </row>
    <row r="6" spans="1:13" x14ac:dyDescent="0.45">
      <c r="A6" s="27" t="s">
        <v>51</v>
      </c>
      <c r="B6" s="28" t="s">
        <v>24</v>
      </c>
      <c r="C6" s="29" t="s">
        <v>31</v>
      </c>
      <c r="D6" s="29"/>
      <c r="E6" s="29"/>
      <c r="F6" s="29"/>
      <c r="G6" s="29"/>
      <c r="H6" s="29"/>
      <c r="I6" s="30" t="s">
        <v>10</v>
      </c>
      <c r="J6" s="31">
        <v>1</v>
      </c>
      <c r="K6" s="29">
        <v>0</v>
      </c>
      <c r="L6" s="7">
        <v>4</v>
      </c>
      <c r="M6" s="5"/>
    </row>
    <row r="7" spans="1:13" x14ac:dyDescent="0.45">
      <c r="A7" s="27" t="s">
        <v>51</v>
      </c>
      <c r="B7" s="28" t="s">
        <v>25</v>
      </c>
      <c r="C7" s="29" t="s">
        <v>31</v>
      </c>
      <c r="D7" s="29"/>
      <c r="E7" s="29"/>
      <c r="F7" s="29"/>
      <c r="G7" s="29"/>
      <c r="H7" s="29"/>
      <c r="I7" s="30" t="s">
        <v>12</v>
      </c>
      <c r="J7" s="31">
        <v>1</v>
      </c>
      <c r="K7" s="29">
        <v>0</v>
      </c>
      <c r="L7" s="7">
        <v>5</v>
      </c>
      <c r="M7" s="5"/>
    </row>
    <row r="8" spans="1:13" x14ac:dyDescent="0.45">
      <c r="A8" s="27" t="s">
        <v>51</v>
      </c>
      <c r="B8" s="28" t="s">
        <v>4</v>
      </c>
      <c r="C8" s="29" t="s">
        <v>20</v>
      </c>
      <c r="D8" s="29" t="s">
        <v>292</v>
      </c>
      <c r="E8" s="29"/>
      <c r="F8" s="29"/>
      <c r="G8" s="29"/>
      <c r="H8" s="29"/>
      <c r="I8" s="30" t="s">
        <v>12</v>
      </c>
      <c r="J8" s="31">
        <v>1</v>
      </c>
      <c r="K8" s="29">
        <v>0</v>
      </c>
      <c r="L8" s="7">
        <v>7</v>
      </c>
      <c r="M8" s="5"/>
    </row>
    <row r="9" spans="1:13" x14ac:dyDescent="0.45">
      <c r="A9" s="27" t="s">
        <v>51</v>
      </c>
      <c r="B9" s="28" t="s">
        <v>111</v>
      </c>
      <c r="C9" s="29" t="s">
        <v>20</v>
      </c>
      <c r="D9" s="29" t="s">
        <v>292</v>
      </c>
      <c r="E9" s="29"/>
      <c r="F9" s="29"/>
      <c r="G9" s="29"/>
      <c r="H9" s="29"/>
      <c r="I9" s="30" t="s">
        <v>10</v>
      </c>
      <c r="J9" s="31">
        <v>1</v>
      </c>
      <c r="K9" s="29">
        <v>0</v>
      </c>
      <c r="L9" s="7">
        <v>9</v>
      </c>
      <c r="M9" s="5"/>
    </row>
    <row r="10" spans="1:13" x14ac:dyDescent="0.45">
      <c r="A10" s="27" t="s">
        <v>51</v>
      </c>
      <c r="B10" s="28" t="s">
        <v>112</v>
      </c>
      <c r="C10" s="29" t="s">
        <v>20</v>
      </c>
      <c r="D10" s="29" t="s">
        <v>292</v>
      </c>
      <c r="E10" s="29"/>
      <c r="F10" s="29"/>
      <c r="G10" s="29"/>
      <c r="H10" s="29"/>
      <c r="I10" s="30" t="s">
        <v>10</v>
      </c>
      <c r="J10" s="31">
        <v>1</v>
      </c>
      <c r="K10" s="29">
        <v>0</v>
      </c>
      <c r="L10" s="7">
        <v>10</v>
      </c>
      <c r="M10" s="5"/>
    </row>
    <row r="11" spans="1:13" x14ac:dyDescent="0.45">
      <c r="A11" s="27" t="s">
        <v>51</v>
      </c>
      <c r="B11" s="28" t="s">
        <v>161</v>
      </c>
      <c r="C11" s="29" t="s">
        <v>20</v>
      </c>
      <c r="D11" s="29" t="s">
        <v>292</v>
      </c>
      <c r="E11" s="29"/>
      <c r="F11" s="29"/>
      <c r="G11" s="29"/>
      <c r="H11" s="29"/>
      <c r="I11" s="30" t="s">
        <v>10</v>
      </c>
      <c r="J11" s="31">
        <v>1</v>
      </c>
      <c r="K11" s="29">
        <v>0</v>
      </c>
      <c r="L11" s="7">
        <v>11</v>
      </c>
      <c r="M11" s="5"/>
    </row>
    <row r="12" spans="1:13" x14ac:dyDescent="0.45">
      <c r="A12" s="27" t="s">
        <v>51</v>
      </c>
      <c r="B12" s="28" t="s">
        <v>162</v>
      </c>
      <c r="C12" s="29" t="s">
        <v>20</v>
      </c>
      <c r="D12" s="29" t="s">
        <v>292</v>
      </c>
      <c r="E12" s="29"/>
      <c r="F12" s="29"/>
      <c r="G12" s="29"/>
      <c r="H12" s="29"/>
      <c r="I12" s="30" t="s">
        <v>10</v>
      </c>
      <c r="J12" s="31">
        <v>1</v>
      </c>
      <c r="K12" s="29">
        <v>0</v>
      </c>
      <c r="L12" s="7">
        <v>12</v>
      </c>
      <c r="M12" s="5"/>
    </row>
    <row r="13" spans="1:13" x14ac:dyDescent="0.45">
      <c r="A13" s="27" t="s">
        <v>51</v>
      </c>
      <c r="B13" s="28" t="s">
        <v>163</v>
      </c>
      <c r="C13" s="29" t="s">
        <v>20</v>
      </c>
      <c r="D13" s="29" t="s">
        <v>292</v>
      </c>
      <c r="E13" s="29"/>
      <c r="F13" s="29"/>
      <c r="G13" s="29"/>
      <c r="H13" s="29"/>
      <c r="I13" s="30" t="s">
        <v>10</v>
      </c>
      <c r="J13" s="31">
        <v>1</v>
      </c>
      <c r="K13" s="29">
        <v>0</v>
      </c>
      <c r="L13" s="7">
        <v>13</v>
      </c>
      <c r="M13" s="5"/>
    </row>
    <row r="14" spans="1:13" x14ac:dyDescent="0.45">
      <c r="A14" s="27" t="s">
        <v>51</v>
      </c>
      <c r="B14" s="28" t="s">
        <v>21</v>
      </c>
      <c r="C14" s="29" t="s">
        <v>31</v>
      </c>
      <c r="D14" s="29"/>
      <c r="E14" s="29"/>
      <c r="F14" s="29"/>
      <c r="G14" s="29"/>
      <c r="H14" s="29"/>
      <c r="I14" s="30" t="s">
        <v>10</v>
      </c>
      <c r="J14" s="31">
        <v>1</v>
      </c>
      <c r="K14" s="29">
        <v>0</v>
      </c>
      <c r="L14" s="7">
        <v>14</v>
      </c>
      <c r="M14" s="5"/>
    </row>
    <row r="15" spans="1:13" x14ac:dyDescent="0.45">
      <c r="A15" s="27" t="s">
        <v>51</v>
      </c>
      <c r="B15" s="32" t="s">
        <v>59</v>
      </c>
      <c r="C15" s="29" t="s">
        <v>31</v>
      </c>
      <c r="D15" s="29"/>
      <c r="E15" s="29"/>
      <c r="F15" s="29"/>
      <c r="G15" s="29"/>
      <c r="H15" s="29"/>
      <c r="I15" s="30" t="s">
        <v>10</v>
      </c>
      <c r="J15" s="31">
        <v>1</v>
      </c>
      <c r="K15" s="29">
        <v>0</v>
      </c>
      <c r="L15" s="7">
        <v>15</v>
      </c>
      <c r="M15" s="5"/>
    </row>
    <row r="16" spans="1:13" x14ac:dyDescent="0.45">
      <c r="A16" s="27" t="s">
        <v>51</v>
      </c>
      <c r="B16" s="32" t="s">
        <v>211</v>
      </c>
      <c r="C16" s="29" t="s">
        <v>31</v>
      </c>
      <c r="D16" s="29"/>
      <c r="E16" s="29"/>
      <c r="F16" s="29"/>
      <c r="G16" s="29"/>
      <c r="H16" s="29"/>
      <c r="I16" s="30" t="s">
        <v>10</v>
      </c>
      <c r="J16" s="31">
        <v>1</v>
      </c>
      <c r="K16" s="29">
        <v>0</v>
      </c>
      <c r="L16" s="7">
        <v>16</v>
      </c>
      <c r="M16" s="5"/>
    </row>
    <row r="17" spans="1:13" x14ac:dyDescent="0.45">
      <c r="A17" s="33" t="s">
        <v>305</v>
      </c>
      <c r="B17" s="34" t="s">
        <v>324</v>
      </c>
      <c r="C17" s="35" t="s">
        <v>20</v>
      </c>
      <c r="D17" s="35" t="s">
        <v>295</v>
      </c>
      <c r="E17" s="35"/>
      <c r="F17" s="35"/>
      <c r="G17" s="35"/>
      <c r="H17" s="35"/>
      <c r="I17" s="36" t="s">
        <v>10</v>
      </c>
      <c r="J17" s="37">
        <v>1</v>
      </c>
      <c r="K17" s="35">
        <v>3</v>
      </c>
      <c r="L17" s="7">
        <v>200</v>
      </c>
      <c r="M17" s="5"/>
    </row>
    <row r="18" spans="1:13" x14ac:dyDescent="0.45">
      <c r="A18" s="33" t="s">
        <v>305</v>
      </c>
      <c r="B18" s="34" t="s">
        <v>325</v>
      </c>
      <c r="C18" s="35" t="s">
        <v>20</v>
      </c>
      <c r="D18" s="35" t="s">
        <v>295</v>
      </c>
      <c r="E18" s="35"/>
      <c r="F18" s="35"/>
      <c r="G18" s="35"/>
      <c r="H18" s="35"/>
      <c r="I18" s="36" t="s">
        <v>10</v>
      </c>
      <c r="J18" s="37">
        <v>1</v>
      </c>
      <c r="K18" s="35">
        <v>50</v>
      </c>
      <c r="L18" s="7"/>
      <c r="M18" s="5"/>
    </row>
    <row r="19" spans="1:13" x14ac:dyDescent="0.45">
      <c r="A19" s="33" t="s">
        <v>305</v>
      </c>
      <c r="B19" s="34" t="s">
        <v>238</v>
      </c>
      <c r="C19" s="35" t="s">
        <v>52</v>
      </c>
      <c r="D19" s="35"/>
      <c r="E19" s="35"/>
      <c r="F19" s="35"/>
      <c r="G19" s="35"/>
      <c r="H19" s="35"/>
      <c r="I19" s="36" t="s">
        <v>10</v>
      </c>
      <c r="J19" s="37">
        <v>1</v>
      </c>
      <c r="K19" s="35">
        <v>0</v>
      </c>
      <c r="L19" s="7"/>
      <c r="M19" s="5"/>
    </row>
    <row r="20" spans="1:13" x14ac:dyDescent="0.45">
      <c r="A20" s="33" t="s">
        <v>305</v>
      </c>
      <c r="B20" s="34" t="s">
        <v>326</v>
      </c>
      <c r="C20" s="35" t="s">
        <v>52</v>
      </c>
      <c r="D20" s="35"/>
      <c r="E20" s="35"/>
      <c r="F20" s="35"/>
      <c r="G20" s="35"/>
      <c r="H20" s="35"/>
      <c r="I20" s="36" t="s">
        <v>10</v>
      </c>
      <c r="J20" s="37">
        <v>1</v>
      </c>
      <c r="K20" s="35">
        <v>0</v>
      </c>
      <c r="L20" s="7"/>
      <c r="M20" s="5"/>
    </row>
    <row r="21" spans="1:13" x14ac:dyDescent="0.45">
      <c r="A21" s="33" t="s">
        <v>305</v>
      </c>
      <c r="B21" s="34" t="s">
        <v>342</v>
      </c>
      <c r="C21" s="35" t="s">
        <v>31</v>
      </c>
      <c r="D21" s="35"/>
      <c r="E21" s="35"/>
      <c r="F21" s="35"/>
      <c r="G21" s="35"/>
      <c r="H21" s="35"/>
      <c r="I21" s="36" t="s">
        <v>12</v>
      </c>
      <c r="J21" s="37">
        <v>1</v>
      </c>
      <c r="K21" s="35">
        <v>0</v>
      </c>
      <c r="L21" s="7"/>
      <c r="M21" s="5"/>
    </row>
    <row r="22" spans="1:13" x14ac:dyDescent="0.45">
      <c r="A22" s="33" t="s">
        <v>305</v>
      </c>
      <c r="B22" s="38" t="s">
        <v>327</v>
      </c>
      <c r="C22" s="35" t="s">
        <v>52</v>
      </c>
      <c r="D22" s="35"/>
      <c r="E22" s="35"/>
      <c r="F22" s="35"/>
      <c r="G22" s="35"/>
      <c r="H22" s="35"/>
      <c r="I22" s="36" t="s">
        <v>10</v>
      </c>
      <c r="J22" s="37">
        <v>1</v>
      </c>
      <c r="K22" s="35">
        <v>0</v>
      </c>
      <c r="L22" s="7"/>
      <c r="M22" s="5"/>
    </row>
    <row r="23" spans="1:13" x14ac:dyDescent="0.45">
      <c r="A23" s="33" t="s">
        <v>305</v>
      </c>
      <c r="B23" s="38" t="s">
        <v>328</v>
      </c>
      <c r="C23" s="35" t="s">
        <v>52</v>
      </c>
      <c r="D23" s="35"/>
      <c r="E23" s="35"/>
      <c r="F23" s="35"/>
      <c r="G23" s="35"/>
      <c r="H23" s="35"/>
      <c r="I23" s="36" t="s">
        <v>10</v>
      </c>
      <c r="J23" s="37">
        <v>1</v>
      </c>
      <c r="K23" s="35">
        <v>0</v>
      </c>
      <c r="L23" s="7"/>
      <c r="M23" s="5"/>
    </row>
    <row r="24" spans="1:13" x14ac:dyDescent="0.45">
      <c r="A24" s="33" t="s">
        <v>305</v>
      </c>
      <c r="B24" s="38" t="s">
        <v>329</v>
      </c>
      <c r="C24" s="35" t="s">
        <v>52</v>
      </c>
      <c r="D24" s="35"/>
      <c r="E24" s="35"/>
      <c r="F24" s="35"/>
      <c r="G24" s="35"/>
      <c r="H24" s="35"/>
      <c r="I24" s="36" t="s">
        <v>10</v>
      </c>
      <c r="J24" s="37">
        <v>1</v>
      </c>
      <c r="K24" s="35">
        <v>0</v>
      </c>
      <c r="L24" s="7"/>
      <c r="M24" s="5"/>
    </row>
    <row r="25" spans="1:13" x14ac:dyDescent="0.45">
      <c r="A25" s="33" t="s">
        <v>305</v>
      </c>
      <c r="B25" s="38" t="s">
        <v>330</v>
      </c>
      <c r="C25" s="35" t="s">
        <v>52</v>
      </c>
      <c r="D25" s="35"/>
      <c r="E25" s="35"/>
      <c r="F25" s="35"/>
      <c r="G25" s="35"/>
      <c r="H25" s="35"/>
      <c r="I25" s="36" t="s">
        <v>10</v>
      </c>
      <c r="J25" s="37">
        <v>1</v>
      </c>
      <c r="K25" s="35">
        <v>0</v>
      </c>
      <c r="L25" s="7"/>
      <c r="M25" s="5"/>
    </row>
    <row r="26" spans="1:13" x14ac:dyDescent="0.45">
      <c r="A26" s="33" t="s">
        <v>305</v>
      </c>
      <c r="B26" s="38" t="s">
        <v>331</v>
      </c>
      <c r="C26" s="35" t="s">
        <v>52</v>
      </c>
      <c r="D26" s="35"/>
      <c r="E26" s="35"/>
      <c r="F26" s="35"/>
      <c r="G26" s="35"/>
      <c r="H26" s="35"/>
      <c r="I26" s="36" t="s">
        <v>10</v>
      </c>
      <c r="J26" s="37">
        <v>1</v>
      </c>
      <c r="K26" s="35">
        <v>0</v>
      </c>
      <c r="L26" s="7"/>
      <c r="M26" s="5"/>
    </row>
    <row r="27" spans="1:13" x14ac:dyDescent="0.45">
      <c r="A27" s="33" t="s">
        <v>305</v>
      </c>
      <c r="B27" s="38" t="s">
        <v>332</v>
      </c>
      <c r="C27" s="35" t="s">
        <v>52</v>
      </c>
      <c r="D27" s="35"/>
      <c r="E27" s="35"/>
      <c r="F27" s="35"/>
      <c r="G27" s="35"/>
      <c r="H27" s="35"/>
      <c r="I27" s="36" t="s">
        <v>10</v>
      </c>
      <c r="J27" s="37">
        <v>1</v>
      </c>
      <c r="K27" s="35">
        <v>0</v>
      </c>
      <c r="L27" s="7"/>
      <c r="M27" s="5"/>
    </row>
    <row r="28" spans="1:13" x14ac:dyDescent="0.45">
      <c r="A28" s="33" t="s">
        <v>305</v>
      </c>
      <c r="B28" s="38" t="s">
        <v>333</v>
      </c>
      <c r="C28" s="35" t="s">
        <v>52</v>
      </c>
      <c r="D28" s="35"/>
      <c r="E28" s="35"/>
      <c r="F28" s="35"/>
      <c r="G28" s="35"/>
      <c r="H28" s="35"/>
      <c r="I28" s="36" t="s">
        <v>10</v>
      </c>
      <c r="J28" s="37">
        <v>1</v>
      </c>
      <c r="K28" s="35">
        <v>0</v>
      </c>
      <c r="L28" s="7"/>
      <c r="M28" s="5"/>
    </row>
    <row r="29" spans="1:13" x14ac:dyDescent="0.45">
      <c r="A29" s="33" t="s">
        <v>305</v>
      </c>
      <c r="B29" s="34" t="s">
        <v>334</v>
      </c>
      <c r="C29" s="35" t="s">
        <v>52</v>
      </c>
      <c r="D29" s="35"/>
      <c r="E29" s="35"/>
      <c r="F29" s="35"/>
      <c r="G29" s="35"/>
      <c r="H29" s="35"/>
      <c r="I29" s="36" t="s">
        <v>10</v>
      </c>
      <c r="J29" s="37">
        <v>1</v>
      </c>
      <c r="K29" s="35">
        <v>0</v>
      </c>
      <c r="L29" s="7"/>
      <c r="M29" s="5"/>
    </row>
    <row r="30" spans="1:13" x14ac:dyDescent="0.45">
      <c r="A30" s="33" t="s">
        <v>305</v>
      </c>
      <c r="B30" s="34" t="s">
        <v>335</v>
      </c>
      <c r="C30" s="35" t="s">
        <v>52</v>
      </c>
      <c r="D30" s="35"/>
      <c r="E30" s="35"/>
      <c r="F30" s="35"/>
      <c r="G30" s="35"/>
      <c r="H30" s="35"/>
      <c r="I30" s="36" t="s">
        <v>10</v>
      </c>
      <c r="J30" s="37">
        <v>1</v>
      </c>
      <c r="K30" s="35">
        <v>0</v>
      </c>
      <c r="L30" s="7"/>
      <c r="M30" s="5"/>
    </row>
    <row r="31" spans="1:13" x14ac:dyDescent="0.45">
      <c r="A31" s="33" t="s">
        <v>305</v>
      </c>
      <c r="B31" s="34" t="s">
        <v>336</v>
      </c>
      <c r="C31" s="35" t="s">
        <v>52</v>
      </c>
      <c r="D31" s="35"/>
      <c r="E31" s="35"/>
      <c r="F31" s="35"/>
      <c r="G31" s="35"/>
      <c r="H31" s="35"/>
      <c r="I31" s="36" t="s">
        <v>10</v>
      </c>
      <c r="J31" s="37">
        <v>1</v>
      </c>
      <c r="K31" s="35">
        <v>0</v>
      </c>
      <c r="L31" s="7"/>
      <c r="M31" s="5"/>
    </row>
    <row r="32" spans="1:13" x14ac:dyDescent="0.45">
      <c r="A32" s="33" t="s">
        <v>305</v>
      </c>
      <c r="B32" s="34" t="s">
        <v>341</v>
      </c>
      <c r="C32" s="35" t="s">
        <v>52</v>
      </c>
      <c r="D32" s="35"/>
      <c r="E32" s="35"/>
      <c r="F32" s="35"/>
      <c r="G32" s="35"/>
      <c r="H32" s="35"/>
      <c r="I32" s="36" t="s">
        <v>10</v>
      </c>
      <c r="J32" s="37">
        <v>1</v>
      </c>
      <c r="K32" s="35">
        <v>0</v>
      </c>
      <c r="L32" s="7"/>
      <c r="M32" s="5"/>
    </row>
    <row r="33" spans="1:13" x14ac:dyDescent="0.45">
      <c r="A33" s="33" t="s">
        <v>305</v>
      </c>
      <c r="B33" s="34" t="s">
        <v>337</v>
      </c>
      <c r="C33" s="35" t="s">
        <v>52</v>
      </c>
      <c r="D33" s="35"/>
      <c r="E33" s="35"/>
      <c r="F33" s="35"/>
      <c r="G33" s="35"/>
      <c r="H33" s="35"/>
      <c r="I33" s="36" t="s">
        <v>10</v>
      </c>
      <c r="J33" s="37">
        <v>1</v>
      </c>
      <c r="K33" s="35">
        <v>0</v>
      </c>
      <c r="L33" s="7"/>
      <c r="M33" s="5"/>
    </row>
    <row r="34" spans="1:13" x14ac:dyDescent="0.45">
      <c r="A34" s="33" t="s">
        <v>305</v>
      </c>
      <c r="B34" s="34" t="s">
        <v>338</v>
      </c>
      <c r="C34" s="35" t="s">
        <v>52</v>
      </c>
      <c r="D34" s="35"/>
      <c r="E34" s="35"/>
      <c r="F34" s="35"/>
      <c r="G34" s="35"/>
      <c r="H34" s="35"/>
      <c r="I34" s="36" t="s">
        <v>10</v>
      </c>
      <c r="J34" s="37">
        <v>1</v>
      </c>
      <c r="K34" s="35">
        <v>0</v>
      </c>
      <c r="L34" s="7"/>
      <c r="M34" s="5"/>
    </row>
    <row r="35" spans="1:13" x14ac:dyDescent="0.45">
      <c r="A35" s="33" t="s">
        <v>305</v>
      </c>
      <c r="B35" s="34" t="s">
        <v>339</v>
      </c>
      <c r="C35" s="35" t="s">
        <v>52</v>
      </c>
      <c r="D35" s="35"/>
      <c r="E35" s="35"/>
      <c r="F35" s="35"/>
      <c r="G35" s="35"/>
      <c r="H35" s="35"/>
      <c r="I35" s="36" t="s">
        <v>10</v>
      </c>
      <c r="J35" s="37">
        <v>1</v>
      </c>
      <c r="K35" s="35">
        <v>0</v>
      </c>
      <c r="L35" s="7"/>
      <c r="M35" s="5"/>
    </row>
    <row r="36" spans="1:13" x14ac:dyDescent="0.45">
      <c r="A36" s="33" t="s">
        <v>305</v>
      </c>
      <c r="B36" s="34" t="s">
        <v>340</v>
      </c>
      <c r="C36" s="35" t="s">
        <v>52</v>
      </c>
      <c r="D36" s="35"/>
      <c r="E36" s="35"/>
      <c r="F36" s="35"/>
      <c r="G36" s="35"/>
      <c r="H36" s="35"/>
      <c r="I36" s="36" t="s">
        <v>10</v>
      </c>
      <c r="J36" s="37">
        <v>1</v>
      </c>
      <c r="K36" s="35">
        <v>0</v>
      </c>
      <c r="L36" s="7"/>
      <c r="M36" s="5"/>
    </row>
    <row r="37" spans="1:13" x14ac:dyDescent="0.45">
      <c r="A37" s="33" t="s">
        <v>305</v>
      </c>
      <c r="B37" s="34" t="s">
        <v>240</v>
      </c>
      <c r="C37" s="35" t="s">
        <v>52</v>
      </c>
      <c r="D37" s="35"/>
      <c r="E37" s="35"/>
      <c r="F37" s="35"/>
      <c r="G37" s="35"/>
      <c r="H37" s="35"/>
      <c r="I37" s="36" t="s">
        <v>10</v>
      </c>
      <c r="J37" s="37">
        <v>1</v>
      </c>
      <c r="K37" s="35">
        <v>0</v>
      </c>
      <c r="L37" s="7"/>
      <c r="M37" s="5"/>
    </row>
    <row r="38" spans="1:13" x14ac:dyDescent="0.45">
      <c r="A38" s="33" t="s">
        <v>305</v>
      </c>
      <c r="B38" s="34" t="s">
        <v>343</v>
      </c>
      <c r="C38" s="35" t="s">
        <v>31</v>
      </c>
      <c r="D38" s="35"/>
      <c r="E38" s="35"/>
      <c r="F38" s="35"/>
      <c r="G38" s="35"/>
      <c r="H38" s="35"/>
      <c r="I38" s="36" t="s">
        <v>12</v>
      </c>
      <c r="J38" s="37">
        <v>1</v>
      </c>
      <c r="K38" s="35">
        <v>0</v>
      </c>
      <c r="L38" s="7"/>
      <c r="M38" s="5"/>
    </row>
    <row r="39" spans="1:13" x14ac:dyDescent="0.45">
      <c r="A39" s="33" t="s">
        <v>305</v>
      </c>
      <c r="B39" s="38" t="s">
        <v>220</v>
      </c>
      <c r="C39" s="35" t="s">
        <v>52</v>
      </c>
      <c r="D39" s="35"/>
      <c r="E39" s="35"/>
      <c r="F39" s="35"/>
      <c r="G39" s="35"/>
      <c r="H39" s="35"/>
      <c r="I39" s="36" t="s">
        <v>10</v>
      </c>
      <c r="J39" s="37">
        <v>1</v>
      </c>
      <c r="K39" s="35">
        <v>0</v>
      </c>
      <c r="L39" s="7"/>
      <c r="M39" s="22"/>
    </row>
    <row r="40" spans="1:13" x14ac:dyDescent="0.45">
      <c r="A40" s="33" t="s">
        <v>305</v>
      </c>
      <c r="B40" s="38" t="s">
        <v>221</v>
      </c>
      <c r="C40" s="35" t="s">
        <v>52</v>
      </c>
      <c r="D40" s="35"/>
      <c r="E40" s="35"/>
      <c r="F40" s="35"/>
      <c r="G40" s="35"/>
      <c r="H40" s="35"/>
      <c r="I40" s="36" t="s">
        <v>10</v>
      </c>
      <c r="J40" s="37">
        <v>1</v>
      </c>
      <c r="K40" s="35">
        <v>0</v>
      </c>
      <c r="L40" s="7"/>
      <c r="M40" s="22"/>
    </row>
    <row r="41" spans="1:13" x14ac:dyDescent="0.45">
      <c r="A41" s="33" t="s">
        <v>305</v>
      </c>
      <c r="B41" s="38" t="s">
        <v>222</v>
      </c>
      <c r="C41" s="35" t="s">
        <v>52</v>
      </c>
      <c r="D41" s="35"/>
      <c r="E41" s="35"/>
      <c r="F41" s="35"/>
      <c r="G41" s="35"/>
      <c r="H41" s="35"/>
      <c r="I41" s="36" t="s">
        <v>10</v>
      </c>
      <c r="J41" s="37">
        <v>1</v>
      </c>
      <c r="K41" s="35">
        <v>0</v>
      </c>
      <c r="L41" s="7"/>
      <c r="M41" s="22"/>
    </row>
    <row r="42" spans="1:13" x14ac:dyDescent="0.45">
      <c r="A42" s="33" t="s">
        <v>305</v>
      </c>
      <c r="B42" s="38" t="s">
        <v>223</v>
      </c>
      <c r="C42" s="35" t="s">
        <v>52</v>
      </c>
      <c r="D42" s="35"/>
      <c r="E42" s="35"/>
      <c r="F42" s="35"/>
      <c r="G42" s="35"/>
      <c r="H42" s="35"/>
      <c r="I42" s="36" t="s">
        <v>10</v>
      </c>
      <c r="J42" s="37">
        <v>1</v>
      </c>
      <c r="K42" s="35">
        <v>0</v>
      </c>
      <c r="L42" s="7"/>
      <c r="M42" s="22"/>
    </row>
    <row r="43" spans="1:13" x14ac:dyDescent="0.45">
      <c r="A43" s="33" t="s">
        <v>305</v>
      </c>
      <c r="B43" s="38" t="s">
        <v>224</v>
      </c>
      <c r="C43" s="35" t="s">
        <v>52</v>
      </c>
      <c r="D43" s="35"/>
      <c r="E43" s="35"/>
      <c r="F43" s="35"/>
      <c r="G43" s="35"/>
      <c r="H43" s="35"/>
      <c r="I43" s="36" t="s">
        <v>10</v>
      </c>
      <c r="J43" s="37">
        <v>1</v>
      </c>
      <c r="K43" s="35">
        <v>0</v>
      </c>
      <c r="L43" s="7"/>
      <c r="M43" s="22"/>
    </row>
    <row r="44" spans="1:13" x14ac:dyDescent="0.45">
      <c r="A44" s="33" t="s">
        <v>305</v>
      </c>
      <c r="B44" s="38" t="s">
        <v>225</v>
      </c>
      <c r="C44" s="35" t="s">
        <v>52</v>
      </c>
      <c r="D44" s="35"/>
      <c r="E44" s="35"/>
      <c r="F44" s="35"/>
      <c r="G44" s="35"/>
      <c r="H44" s="35"/>
      <c r="I44" s="36" t="s">
        <v>10</v>
      </c>
      <c r="J44" s="37">
        <v>1</v>
      </c>
      <c r="K44" s="35">
        <v>0</v>
      </c>
      <c r="L44" s="7"/>
      <c r="M44" s="22"/>
    </row>
    <row r="45" spans="1:13" x14ac:dyDescent="0.45">
      <c r="A45" s="33" t="s">
        <v>305</v>
      </c>
      <c r="B45" s="38" t="s">
        <v>226</v>
      </c>
      <c r="C45" s="35" t="s">
        <v>52</v>
      </c>
      <c r="D45" s="35"/>
      <c r="E45" s="35"/>
      <c r="F45" s="35"/>
      <c r="G45" s="35"/>
      <c r="H45" s="35"/>
      <c r="I45" s="36" t="s">
        <v>10</v>
      </c>
      <c r="J45" s="37">
        <v>1</v>
      </c>
      <c r="K45" s="35">
        <v>0</v>
      </c>
      <c r="L45" s="7"/>
      <c r="M45" s="22"/>
    </row>
    <row r="46" spans="1:13" x14ac:dyDescent="0.45">
      <c r="A46" s="27" t="s">
        <v>306</v>
      </c>
      <c r="B46" s="28" t="s">
        <v>176</v>
      </c>
      <c r="C46" s="29" t="s">
        <v>20</v>
      </c>
      <c r="D46" s="29" t="s">
        <v>295</v>
      </c>
      <c r="E46" s="29"/>
      <c r="F46" s="29"/>
      <c r="G46" s="29"/>
      <c r="H46" s="29"/>
      <c r="I46" s="30" t="s">
        <v>10</v>
      </c>
      <c r="J46" s="31">
        <v>1</v>
      </c>
      <c r="K46" s="29">
        <v>0</v>
      </c>
      <c r="L46" s="7">
        <v>400</v>
      </c>
      <c r="M46" s="5" t="s">
        <v>184</v>
      </c>
    </row>
    <row r="47" spans="1:13" x14ac:dyDescent="0.45">
      <c r="A47" s="27" t="s">
        <v>306</v>
      </c>
      <c r="B47" s="28" t="s">
        <v>177</v>
      </c>
      <c r="C47" s="29" t="s">
        <v>31</v>
      </c>
      <c r="D47" s="29"/>
      <c r="E47" s="29"/>
      <c r="F47" s="29"/>
      <c r="G47" s="29"/>
      <c r="H47" s="29"/>
      <c r="I47" s="30" t="s">
        <v>10</v>
      </c>
      <c r="J47" s="31">
        <v>1</v>
      </c>
      <c r="K47" s="29">
        <v>0</v>
      </c>
      <c r="L47" s="7"/>
      <c r="M47" s="5" t="s">
        <v>178</v>
      </c>
    </row>
    <row r="48" spans="1:13" x14ac:dyDescent="0.45">
      <c r="A48" s="27" t="s">
        <v>306</v>
      </c>
      <c r="B48" s="28" t="s">
        <v>187</v>
      </c>
      <c r="C48" s="29" t="s">
        <v>52</v>
      </c>
      <c r="D48" s="29"/>
      <c r="E48" s="29"/>
      <c r="F48" s="29"/>
      <c r="G48" s="29"/>
      <c r="H48" s="29"/>
      <c r="I48" s="30" t="s">
        <v>10</v>
      </c>
      <c r="J48" s="31">
        <v>1</v>
      </c>
      <c r="K48" s="29">
        <v>0</v>
      </c>
      <c r="L48" s="7"/>
      <c r="M48" s="5"/>
    </row>
    <row r="49" spans="1:13" x14ac:dyDescent="0.45">
      <c r="A49" s="27" t="s">
        <v>306</v>
      </c>
      <c r="B49" s="28" t="s">
        <v>189</v>
      </c>
      <c r="C49" s="29" t="s">
        <v>31</v>
      </c>
      <c r="D49" s="29"/>
      <c r="E49" s="29"/>
      <c r="F49" s="29"/>
      <c r="G49" s="29"/>
      <c r="H49" s="29"/>
      <c r="I49" s="30" t="s">
        <v>10</v>
      </c>
      <c r="J49" s="31">
        <v>1</v>
      </c>
      <c r="K49" s="29">
        <v>0</v>
      </c>
      <c r="L49" s="7"/>
      <c r="M49" s="5"/>
    </row>
    <row r="50" spans="1:13" x14ac:dyDescent="0.45">
      <c r="A50" s="27" t="s">
        <v>306</v>
      </c>
      <c r="B50" s="28" t="s">
        <v>190</v>
      </c>
      <c r="C50" s="29" t="s">
        <v>31</v>
      </c>
      <c r="D50" s="29"/>
      <c r="E50" s="29"/>
      <c r="F50" s="29"/>
      <c r="G50" s="29"/>
      <c r="H50" s="29"/>
      <c r="I50" s="30" t="s">
        <v>10</v>
      </c>
      <c r="J50" s="31">
        <v>1</v>
      </c>
      <c r="K50" s="29">
        <v>0</v>
      </c>
      <c r="L50" s="7"/>
      <c r="M50" s="5"/>
    </row>
    <row r="51" spans="1:13" x14ac:dyDescent="0.45">
      <c r="A51" s="27" t="s">
        <v>306</v>
      </c>
      <c r="B51" s="28" t="s">
        <v>191</v>
      </c>
      <c r="C51" s="29" t="s">
        <v>31</v>
      </c>
      <c r="D51" s="29"/>
      <c r="E51" s="29"/>
      <c r="F51" s="29"/>
      <c r="G51" s="29"/>
      <c r="H51" s="29"/>
      <c r="I51" s="30" t="s">
        <v>10</v>
      </c>
      <c r="J51" s="31">
        <v>1</v>
      </c>
      <c r="K51" s="29">
        <v>0</v>
      </c>
      <c r="L51" s="7"/>
      <c r="M51" s="5"/>
    </row>
    <row r="52" spans="1:13" x14ac:dyDescent="0.45">
      <c r="A52" s="27" t="s">
        <v>306</v>
      </c>
      <c r="B52" s="28" t="s">
        <v>192</v>
      </c>
      <c r="C52" s="29" t="s">
        <v>31</v>
      </c>
      <c r="D52" s="29"/>
      <c r="E52" s="29"/>
      <c r="F52" s="29"/>
      <c r="G52" s="29"/>
      <c r="H52" s="29"/>
      <c r="I52" s="30" t="s">
        <v>10</v>
      </c>
      <c r="J52" s="31">
        <v>1</v>
      </c>
      <c r="K52" s="29">
        <v>0</v>
      </c>
      <c r="L52" s="7"/>
      <c r="M52" s="5"/>
    </row>
    <row r="53" spans="1:13" x14ac:dyDescent="0.45">
      <c r="A53" s="27" t="s">
        <v>306</v>
      </c>
      <c r="B53" s="28" t="s">
        <v>193</v>
      </c>
      <c r="C53" s="29" t="s">
        <v>31</v>
      </c>
      <c r="D53" s="29"/>
      <c r="E53" s="29"/>
      <c r="F53" s="29"/>
      <c r="G53" s="29"/>
      <c r="H53" s="29"/>
      <c r="I53" s="30" t="s">
        <v>10</v>
      </c>
      <c r="J53" s="31">
        <v>1</v>
      </c>
      <c r="K53" s="29">
        <v>0</v>
      </c>
      <c r="L53" s="7"/>
      <c r="M53" s="5"/>
    </row>
    <row r="54" spans="1:13" x14ac:dyDescent="0.45">
      <c r="A54" s="27" t="s">
        <v>306</v>
      </c>
      <c r="B54" s="28" t="s">
        <v>194</v>
      </c>
      <c r="C54" s="29" t="s">
        <v>31</v>
      </c>
      <c r="D54" s="29"/>
      <c r="E54" s="29"/>
      <c r="F54" s="29"/>
      <c r="G54" s="29"/>
      <c r="H54" s="29"/>
      <c r="I54" s="30" t="s">
        <v>10</v>
      </c>
      <c r="J54" s="31">
        <v>1</v>
      </c>
      <c r="K54" s="29">
        <v>0</v>
      </c>
      <c r="L54" s="7"/>
      <c r="M54" s="5"/>
    </row>
    <row r="55" spans="1:13" x14ac:dyDescent="0.45">
      <c r="A55" s="27" t="s">
        <v>306</v>
      </c>
      <c r="B55" s="28" t="s">
        <v>196</v>
      </c>
      <c r="C55" s="29" t="s">
        <v>20</v>
      </c>
      <c r="D55" s="29"/>
      <c r="E55" s="29"/>
      <c r="F55" s="29"/>
      <c r="G55" s="29"/>
      <c r="H55" s="29"/>
      <c r="I55" s="30" t="s">
        <v>10</v>
      </c>
      <c r="J55" s="31">
        <v>1</v>
      </c>
      <c r="K55" s="29">
        <v>0</v>
      </c>
      <c r="L55" s="7"/>
      <c r="M55" s="5"/>
    </row>
    <row r="56" spans="1:13" x14ac:dyDescent="0.45">
      <c r="A56" s="27" t="s">
        <v>306</v>
      </c>
      <c r="B56" s="28" t="s">
        <v>197</v>
      </c>
      <c r="C56" s="29" t="s">
        <v>20</v>
      </c>
      <c r="D56" s="29"/>
      <c r="E56" s="29"/>
      <c r="F56" s="29"/>
      <c r="G56" s="29"/>
      <c r="H56" s="29"/>
      <c r="I56" s="30" t="s">
        <v>10</v>
      </c>
      <c r="J56" s="31">
        <v>1</v>
      </c>
      <c r="K56" s="29">
        <v>0</v>
      </c>
      <c r="L56" s="7"/>
      <c r="M56" s="5"/>
    </row>
    <row r="57" spans="1:13" x14ac:dyDescent="0.45">
      <c r="A57" s="27" t="s">
        <v>306</v>
      </c>
      <c r="B57" s="28" t="s">
        <v>198</v>
      </c>
      <c r="C57" s="29" t="s">
        <v>20</v>
      </c>
      <c r="D57" s="29"/>
      <c r="E57" s="29"/>
      <c r="F57" s="29"/>
      <c r="G57" s="29"/>
      <c r="H57" s="29"/>
      <c r="I57" s="30" t="s">
        <v>10</v>
      </c>
      <c r="J57" s="31">
        <v>1</v>
      </c>
      <c r="K57" s="29">
        <v>0</v>
      </c>
      <c r="L57" s="7"/>
      <c r="M57" s="5"/>
    </row>
    <row r="58" spans="1:13" x14ac:dyDescent="0.45">
      <c r="A58" s="27" t="s">
        <v>306</v>
      </c>
      <c r="B58" s="28" t="s">
        <v>199</v>
      </c>
      <c r="C58" s="29" t="s">
        <v>20</v>
      </c>
      <c r="D58" s="29"/>
      <c r="E58" s="29"/>
      <c r="F58" s="29"/>
      <c r="G58" s="29"/>
      <c r="H58" s="29"/>
      <c r="I58" s="30" t="s">
        <v>10</v>
      </c>
      <c r="J58" s="31">
        <v>1</v>
      </c>
      <c r="K58" s="29">
        <v>0</v>
      </c>
      <c r="L58" s="7"/>
      <c r="M58" s="5"/>
    </row>
    <row r="59" spans="1:13" x14ac:dyDescent="0.45">
      <c r="A59" s="27" t="s">
        <v>306</v>
      </c>
      <c r="B59" s="28" t="s">
        <v>200</v>
      </c>
      <c r="C59" s="29" t="s">
        <v>20</v>
      </c>
      <c r="D59" s="29"/>
      <c r="E59" s="29"/>
      <c r="F59" s="29"/>
      <c r="G59" s="29"/>
      <c r="H59" s="29"/>
      <c r="I59" s="30" t="s">
        <v>10</v>
      </c>
      <c r="J59" s="31">
        <v>1</v>
      </c>
      <c r="K59" s="29">
        <v>0</v>
      </c>
      <c r="L59" s="7"/>
      <c r="M59" s="5"/>
    </row>
    <row r="60" spans="1:13" x14ac:dyDescent="0.45">
      <c r="A60" s="27" t="s">
        <v>306</v>
      </c>
      <c r="B60" s="28" t="s">
        <v>201</v>
      </c>
      <c r="C60" s="29" t="s">
        <v>20</v>
      </c>
      <c r="D60" s="29"/>
      <c r="E60" s="29"/>
      <c r="F60" s="29"/>
      <c r="G60" s="29"/>
      <c r="H60" s="29"/>
      <c r="I60" s="30" t="s">
        <v>10</v>
      </c>
      <c r="J60" s="31">
        <v>1</v>
      </c>
      <c r="K60" s="29">
        <v>0</v>
      </c>
      <c r="L60" s="7"/>
      <c r="M60" s="5"/>
    </row>
    <row r="61" spans="1:13" x14ac:dyDescent="0.45">
      <c r="A61" s="27" t="s">
        <v>306</v>
      </c>
      <c r="B61" s="28" t="s">
        <v>195</v>
      </c>
      <c r="C61" s="29" t="s">
        <v>52</v>
      </c>
      <c r="D61" s="29"/>
      <c r="E61" s="29"/>
      <c r="F61" s="29"/>
      <c r="G61" s="29"/>
      <c r="H61" s="29"/>
      <c r="I61" s="30" t="s">
        <v>10</v>
      </c>
      <c r="J61" s="31">
        <v>1</v>
      </c>
      <c r="K61" s="29">
        <v>0</v>
      </c>
      <c r="L61" s="7"/>
      <c r="M61" s="5"/>
    </row>
    <row r="62" spans="1:13" x14ac:dyDescent="0.45">
      <c r="A62" s="33" t="s">
        <v>312</v>
      </c>
      <c r="B62" s="34" t="s">
        <v>54</v>
      </c>
      <c r="C62" s="35" t="s">
        <v>20</v>
      </c>
      <c r="D62" s="35" t="s">
        <v>295</v>
      </c>
      <c r="E62" s="35"/>
      <c r="F62" s="35"/>
      <c r="G62" s="35"/>
      <c r="H62" s="35"/>
      <c r="I62" s="36" t="s">
        <v>12</v>
      </c>
      <c r="J62" s="37">
        <v>1</v>
      </c>
      <c r="K62" s="35">
        <v>2000000</v>
      </c>
      <c r="L62" s="7">
        <v>900</v>
      </c>
      <c r="M62" s="5"/>
    </row>
    <row r="63" spans="1:13" x14ac:dyDescent="0.45">
      <c r="A63" s="27" t="s">
        <v>310</v>
      </c>
      <c r="B63" s="28" t="s">
        <v>313</v>
      </c>
      <c r="C63" s="29" t="s">
        <v>31</v>
      </c>
      <c r="D63" s="29"/>
      <c r="E63" s="29"/>
      <c r="F63" s="29"/>
      <c r="G63" s="29"/>
      <c r="H63" s="29"/>
      <c r="I63" s="30" t="s">
        <v>10</v>
      </c>
      <c r="J63" s="39" t="s">
        <v>208</v>
      </c>
      <c r="K63" s="29">
        <v>0</v>
      </c>
      <c r="L63" s="7">
        <v>1000</v>
      </c>
      <c r="M63" s="5"/>
    </row>
    <row r="64" spans="1:13" x14ac:dyDescent="0.45">
      <c r="A64" s="27" t="s">
        <v>310</v>
      </c>
      <c r="B64" s="28" t="s">
        <v>314</v>
      </c>
      <c r="C64" s="29" t="s">
        <v>20</v>
      </c>
      <c r="D64" s="29" t="s">
        <v>293</v>
      </c>
      <c r="E64" s="29"/>
      <c r="F64" s="29"/>
      <c r="G64" s="29"/>
      <c r="H64" s="29"/>
      <c r="I64" s="30" t="s">
        <v>10</v>
      </c>
      <c r="J64" s="39" t="s">
        <v>208</v>
      </c>
      <c r="K64" s="29">
        <v>0</v>
      </c>
      <c r="L64" s="7"/>
      <c r="M64" s="5"/>
    </row>
    <row r="65" spans="1:13" x14ac:dyDescent="0.45">
      <c r="A65" s="27" t="s">
        <v>310</v>
      </c>
      <c r="B65" s="28" t="s">
        <v>2</v>
      </c>
      <c r="C65" s="29" t="s">
        <v>20</v>
      </c>
      <c r="D65" s="29" t="s">
        <v>295</v>
      </c>
      <c r="E65" s="29"/>
      <c r="F65" s="29"/>
      <c r="G65" s="29"/>
      <c r="H65" s="29"/>
      <c r="I65" s="30" t="s">
        <v>10</v>
      </c>
      <c r="J65" s="31">
        <v>1</v>
      </c>
      <c r="K65" s="29">
        <v>1</v>
      </c>
      <c r="L65" s="7">
        <v>4000</v>
      </c>
      <c r="M65" s="5" t="s">
        <v>32</v>
      </c>
    </row>
    <row r="66" spans="1:13" x14ac:dyDescent="0.45">
      <c r="A66" s="33" t="s">
        <v>307</v>
      </c>
      <c r="B66" s="34" t="s">
        <v>110</v>
      </c>
      <c r="C66" s="35" t="s">
        <v>20</v>
      </c>
      <c r="D66" s="35"/>
      <c r="E66" s="35"/>
      <c r="F66" s="35"/>
      <c r="G66" s="35"/>
      <c r="H66" s="35"/>
      <c r="I66" s="36" t="s">
        <v>10</v>
      </c>
      <c r="J66" s="37">
        <v>1</v>
      </c>
      <c r="K66" s="35">
        <v>0</v>
      </c>
      <c r="L66" s="7">
        <v>4001</v>
      </c>
      <c r="M66" s="21" t="s">
        <v>113</v>
      </c>
    </row>
    <row r="67" spans="1:13" x14ac:dyDescent="0.45">
      <c r="A67" s="33" t="s">
        <v>307</v>
      </c>
      <c r="B67" s="34" t="s">
        <v>227</v>
      </c>
      <c r="C67" s="35" t="s">
        <v>52</v>
      </c>
      <c r="D67" s="35"/>
      <c r="E67" s="35"/>
      <c r="F67" s="35"/>
      <c r="G67" s="35"/>
      <c r="H67" s="35"/>
      <c r="I67" s="36" t="s">
        <v>10</v>
      </c>
      <c r="J67" s="37">
        <v>1</v>
      </c>
      <c r="K67" s="35">
        <v>0</v>
      </c>
      <c r="L67" s="7">
        <v>4002</v>
      </c>
      <c r="M67" s="21"/>
    </row>
    <row r="68" spans="1:13" x14ac:dyDescent="0.45">
      <c r="A68" s="33" t="s">
        <v>307</v>
      </c>
      <c r="B68" s="34" t="s">
        <v>228</v>
      </c>
      <c r="C68" s="35" t="s">
        <v>52</v>
      </c>
      <c r="D68" s="35"/>
      <c r="E68" s="35"/>
      <c r="F68" s="35"/>
      <c r="G68" s="35"/>
      <c r="H68" s="35"/>
      <c r="I68" s="36" t="s">
        <v>10</v>
      </c>
      <c r="J68" s="37">
        <v>1</v>
      </c>
      <c r="K68" s="35">
        <v>0</v>
      </c>
      <c r="L68" s="7">
        <v>4003</v>
      </c>
      <c r="M68" s="21"/>
    </row>
    <row r="69" spans="1:13" x14ac:dyDescent="0.45">
      <c r="A69" s="33" t="s">
        <v>307</v>
      </c>
      <c r="B69" s="34" t="s">
        <v>53</v>
      </c>
      <c r="C69" s="35" t="s">
        <v>20</v>
      </c>
      <c r="D69" s="35" t="s">
        <v>295</v>
      </c>
      <c r="E69" s="35"/>
      <c r="F69" s="35"/>
      <c r="G69" s="35"/>
      <c r="H69" s="35"/>
      <c r="I69" s="36" t="s">
        <v>12</v>
      </c>
      <c r="J69" s="37">
        <v>1</v>
      </c>
      <c r="K69" s="35">
        <v>2000000</v>
      </c>
      <c r="L69" s="7"/>
      <c r="M69" s="5"/>
    </row>
    <row r="70" spans="1:13" x14ac:dyDescent="0.45">
      <c r="A70" s="33" t="s">
        <v>307</v>
      </c>
      <c r="B70" s="38" t="s">
        <v>5</v>
      </c>
      <c r="C70" s="35" t="s">
        <v>31</v>
      </c>
      <c r="D70" s="35"/>
      <c r="E70" s="35"/>
      <c r="F70" s="35"/>
      <c r="G70" s="35"/>
      <c r="H70" s="35"/>
      <c r="I70" s="36" t="s">
        <v>12</v>
      </c>
      <c r="J70" s="35">
        <v>1</v>
      </c>
      <c r="K70" s="35">
        <v>0</v>
      </c>
      <c r="L70" s="7"/>
      <c r="M70" s="5"/>
    </row>
    <row r="71" spans="1:13" x14ac:dyDescent="0.45">
      <c r="A71" s="33" t="s">
        <v>307</v>
      </c>
      <c r="B71" s="38" t="s">
        <v>7</v>
      </c>
      <c r="C71" s="35" t="s">
        <v>31</v>
      </c>
      <c r="D71" s="35"/>
      <c r="E71" s="35"/>
      <c r="F71" s="35"/>
      <c r="G71" s="35"/>
      <c r="H71" s="35"/>
      <c r="I71" s="36" t="s">
        <v>12</v>
      </c>
      <c r="J71" s="35">
        <v>1</v>
      </c>
      <c r="K71" s="35">
        <v>0</v>
      </c>
      <c r="L71" s="7"/>
      <c r="M71" s="5"/>
    </row>
    <row r="72" spans="1:13" x14ac:dyDescent="0.45">
      <c r="A72" s="33" t="s">
        <v>307</v>
      </c>
      <c r="B72" s="38" t="s">
        <v>8</v>
      </c>
      <c r="C72" s="35" t="s">
        <v>31</v>
      </c>
      <c r="D72" s="35"/>
      <c r="E72" s="35"/>
      <c r="F72" s="35"/>
      <c r="G72" s="35"/>
      <c r="H72" s="35"/>
      <c r="I72" s="36" t="s">
        <v>12</v>
      </c>
      <c r="J72" s="35">
        <v>1</v>
      </c>
      <c r="K72" s="35">
        <v>0</v>
      </c>
      <c r="L72" s="7"/>
      <c r="M72" s="5"/>
    </row>
    <row r="73" spans="1:13" x14ac:dyDescent="0.45">
      <c r="A73" s="33" t="s">
        <v>307</v>
      </c>
      <c r="B73" s="38" t="s">
        <v>9</v>
      </c>
      <c r="C73" s="35" t="s">
        <v>31</v>
      </c>
      <c r="D73" s="35"/>
      <c r="E73" s="35"/>
      <c r="F73" s="35"/>
      <c r="G73" s="35"/>
      <c r="H73" s="35"/>
      <c r="I73" s="36" t="s">
        <v>12</v>
      </c>
      <c r="J73" s="35">
        <v>1</v>
      </c>
      <c r="K73" s="35">
        <v>0</v>
      </c>
      <c r="L73" s="7"/>
      <c r="M73" s="5"/>
    </row>
    <row r="74" spans="1:13" x14ac:dyDescent="0.45">
      <c r="A74" s="33" t="s">
        <v>307</v>
      </c>
      <c r="B74" s="38" t="s">
        <v>55</v>
      </c>
      <c r="C74" s="35" t="s">
        <v>31</v>
      </c>
      <c r="D74" s="35"/>
      <c r="E74" s="35"/>
      <c r="F74" s="35"/>
      <c r="G74" s="35"/>
      <c r="H74" s="35"/>
      <c r="I74" s="36" t="s">
        <v>12</v>
      </c>
      <c r="J74" s="35">
        <v>1</v>
      </c>
      <c r="K74" s="35">
        <v>0</v>
      </c>
      <c r="L74" s="7"/>
      <c r="M74" s="5"/>
    </row>
    <row r="75" spans="1:13" x14ac:dyDescent="0.45">
      <c r="A75" s="33" t="s">
        <v>307</v>
      </c>
      <c r="B75" s="38" t="s">
        <v>56</v>
      </c>
      <c r="C75" s="35" t="s">
        <v>31</v>
      </c>
      <c r="D75" s="35"/>
      <c r="E75" s="35"/>
      <c r="F75" s="35"/>
      <c r="G75" s="35"/>
      <c r="H75" s="35"/>
      <c r="I75" s="36" t="s">
        <v>12</v>
      </c>
      <c r="J75" s="35">
        <v>1</v>
      </c>
      <c r="K75" s="35">
        <v>0</v>
      </c>
      <c r="L75" s="7"/>
      <c r="M75" s="5"/>
    </row>
    <row r="76" spans="1:13" x14ac:dyDescent="0.45">
      <c r="A76" s="33" t="s">
        <v>307</v>
      </c>
      <c r="B76" s="38" t="s">
        <v>57</v>
      </c>
      <c r="C76" s="35" t="s">
        <v>31</v>
      </c>
      <c r="D76" s="35"/>
      <c r="E76" s="35"/>
      <c r="F76" s="35"/>
      <c r="G76" s="35"/>
      <c r="H76" s="35"/>
      <c r="I76" s="36" t="s">
        <v>12</v>
      </c>
      <c r="J76" s="35">
        <v>1</v>
      </c>
      <c r="K76" s="35">
        <v>0</v>
      </c>
      <c r="L76" s="7"/>
      <c r="M76" s="5"/>
    </row>
    <row r="77" spans="1:13" x14ac:dyDescent="0.45">
      <c r="A77" s="33" t="s">
        <v>307</v>
      </c>
      <c r="B77" s="38" t="s">
        <v>6</v>
      </c>
      <c r="C77" s="35" t="s">
        <v>31</v>
      </c>
      <c r="D77" s="35"/>
      <c r="E77" s="35"/>
      <c r="F77" s="35"/>
      <c r="G77" s="35"/>
      <c r="H77" s="35"/>
      <c r="I77" s="36" t="s">
        <v>12</v>
      </c>
      <c r="J77" s="35">
        <v>1</v>
      </c>
      <c r="K77" s="35">
        <v>0</v>
      </c>
      <c r="L77" s="7"/>
      <c r="M77" s="5"/>
    </row>
    <row r="78" spans="1:13" x14ac:dyDescent="0.45">
      <c r="A78" s="33" t="s">
        <v>307</v>
      </c>
      <c r="B78" s="38" t="s">
        <v>26</v>
      </c>
      <c r="C78" s="35" t="s">
        <v>31</v>
      </c>
      <c r="D78" s="35"/>
      <c r="E78" s="35"/>
      <c r="F78" s="35"/>
      <c r="G78" s="35"/>
      <c r="H78" s="35"/>
      <c r="I78" s="36" t="s">
        <v>12</v>
      </c>
      <c r="J78" s="35">
        <v>1</v>
      </c>
      <c r="K78" s="35">
        <v>0</v>
      </c>
      <c r="L78" s="7"/>
      <c r="M78" s="5"/>
    </row>
    <row r="79" spans="1:13" x14ac:dyDescent="0.45">
      <c r="A79" s="33" t="s">
        <v>307</v>
      </c>
      <c r="B79" s="38" t="s">
        <v>27</v>
      </c>
      <c r="C79" s="35" t="s">
        <v>31</v>
      </c>
      <c r="D79" s="35"/>
      <c r="E79" s="35"/>
      <c r="F79" s="35"/>
      <c r="G79" s="35"/>
      <c r="H79" s="35"/>
      <c r="I79" s="36" t="s">
        <v>12</v>
      </c>
      <c r="J79" s="35">
        <v>1</v>
      </c>
      <c r="K79" s="35">
        <v>0</v>
      </c>
      <c r="L79" s="7"/>
      <c r="M79" s="5"/>
    </row>
    <row r="80" spans="1:13" x14ac:dyDescent="0.45">
      <c r="A80" s="33" t="s">
        <v>307</v>
      </c>
      <c r="B80" s="38" t="s">
        <v>28</v>
      </c>
      <c r="C80" s="35" t="s">
        <v>31</v>
      </c>
      <c r="D80" s="35"/>
      <c r="E80" s="35"/>
      <c r="F80" s="35"/>
      <c r="G80" s="35"/>
      <c r="H80" s="35"/>
      <c r="I80" s="36" t="s">
        <v>12</v>
      </c>
      <c r="J80" s="35">
        <v>1</v>
      </c>
      <c r="K80" s="35">
        <v>0</v>
      </c>
      <c r="L80" s="7"/>
      <c r="M80" s="5"/>
    </row>
    <row r="81" spans="1:13" x14ac:dyDescent="0.45">
      <c r="A81" s="33" t="s">
        <v>307</v>
      </c>
      <c r="B81" s="38" t="s">
        <v>29</v>
      </c>
      <c r="C81" s="35" t="s">
        <v>31</v>
      </c>
      <c r="D81" s="35"/>
      <c r="E81" s="35"/>
      <c r="F81" s="35"/>
      <c r="G81" s="35"/>
      <c r="H81" s="35"/>
      <c r="I81" s="36" t="s">
        <v>12</v>
      </c>
      <c r="J81" s="35">
        <v>1</v>
      </c>
      <c r="K81" s="35">
        <v>0</v>
      </c>
      <c r="L81" s="7"/>
      <c r="M81" s="5"/>
    </row>
    <row r="82" spans="1:13" x14ac:dyDescent="0.45">
      <c r="A82" s="33" t="s">
        <v>307</v>
      </c>
      <c r="B82" s="38" t="s">
        <v>30</v>
      </c>
      <c r="C82" s="35" t="s">
        <v>31</v>
      </c>
      <c r="D82" s="35"/>
      <c r="E82" s="35"/>
      <c r="F82" s="35"/>
      <c r="G82" s="35"/>
      <c r="H82" s="35"/>
      <c r="I82" s="36" t="s">
        <v>12</v>
      </c>
      <c r="J82" s="35">
        <v>1</v>
      </c>
      <c r="K82" s="35">
        <v>0</v>
      </c>
      <c r="L82" s="7"/>
      <c r="M82" s="5"/>
    </row>
    <row r="83" spans="1:13" x14ac:dyDescent="0.45">
      <c r="A83" s="33" t="s">
        <v>307</v>
      </c>
      <c r="B83" s="38" t="s">
        <v>58</v>
      </c>
      <c r="C83" s="35" t="s">
        <v>31</v>
      </c>
      <c r="D83" s="35"/>
      <c r="E83" s="35"/>
      <c r="F83" s="35"/>
      <c r="G83" s="35"/>
      <c r="H83" s="35"/>
      <c r="I83" s="36" t="s">
        <v>12</v>
      </c>
      <c r="J83" s="35">
        <v>1</v>
      </c>
      <c r="K83" s="35">
        <v>0</v>
      </c>
      <c r="L83" s="7"/>
      <c r="M83" s="5"/>
    </row>
    <row r="84" spans="1:13" x14ac:dyDescent="0.45">
      <c r="A84" s="33" t="s">
        <v>307</v>
      </c>
      <c r="B84" s="38" t="s">
        <v>60</v>
      </c>
      <c r="C84" s="35" t="s">
        <v>20</v>
      </c>
      <c r="D84" s="35" t="s">
        <v>293</v>
      </c>
      <c r="E84" s="35"/>
      <c r="F84" s="35"/>
      <c r="G84" s="35"/>
      <c r="H84" s="35"/>
      <c r="I84" s="36" t="s">
        <v>10</v>
      </c>
      <c r="J84" s="35">
        <v>1</v>
      </c>
      <c r="K84" s="35">
        <v>50</v>
      </c>
      <c r="L84" s="7"/>
      <c r="M84" s="22"/>
    </row>
    <row r="85" spans="1:13" x14ac:dyDescent="0.45">
      <c r="A85" s="27" t="s">
        <v>311</v>
      </c>
      <c r="B85" s="28" t="s">
        <v>315</v>
      </c>
      <c r="C85" s="29" t="s">
        <v>20</v>
      </c>
      <c r="D85" s="29" t="s">
        <v>293</v>
      </c>
      <c r="E85" s="27"/>
      <c r="F85" s="29"/>
      <c r="G85" s="29"/>
      <c r="H85" s="29"/>
      <c r="I85" s="30" t="s">
        <v>10</v>
      </c>
      <c r="J85" s="31">
        <v>1</v>
      </c>
      <c r="K85" s="29">
        <v>0</v>
      </c>
      <c r="L85" s="7"/>
      <c r="M85" s="5"/>
    </row>
    <row r="86" spans="1:13" x14ac:dyDescent="0.45">
      <c r="A86" s="27" t="s">
        <v>311</v>
      </c>
      <c r="B86" s="28" t="s">
        <v>316</v>
      </c>
      <c r="C86" s="29" t="s">
        <v>20</v>
      </c>
      <c r="D86" s="29" t="s">
        <v>293</v>
      </c>
      <c r="E86" s="27"/>
      <c r="F86" s="29"/>
      <c r="G86" s="29"/>
      <c r="H86" s="29"/>
      <c r="I86" s="30" t="s">
        <v>10</v>
      </c>
      <c r="J86" s="31">
        <v>1</v>
      </c>
      <c r="K86" s="29">
        <v>0</v>
      </c>
      <c r="L86" s="7"/>
      <c r="M86" s="5"/>
    </row>
    <row r="87" spans="1:13" x14ac:dyDescent="0.45">
      <c r="A87" s="27" t="s">
        <v>311</v>
      </c>
      <c r="B87" s="28" t="s">
        <v>317</v>
      </c>
      <c r="C87" s="29" t="s">
        <v>20</v>
      </c>
      <c r="D87" s="29" t="s">
        <v>293</v>
      </c>
      <c r="E87" s="27"/>
      <c r="F87" s="29"/>
      <c r="G87" s="29"/>
      <c r="H87" s="29"/>
      <c r="I87" s="30" t="s">
        <v>10</v>
      </c>
      <c r="J87" s="31">
        <v>1</v>
      </c>
      <c r="K87" s="29">
        <v>10</v>
      </c>
      <c r="L87" s="7"/>
      <c r="M87" s="5"/>
    </row>
    <row r="88" spans="1:13" x14ac:dyDescent="0.45">
      <c r="A88" s="27" t="s">
        <v>311</v>
      </c>
      <c r="B88" s="28" t="s">
        <v>318</v>
      </c>
      <c r="C88" s="29" t="s">
        <v>20</v>
      </c>
      <c r="D88" s="29" t="s">
        <v>293</v>
      </c>
      <c r="E88" s="27"/>
      <c r="F88" s="29"/>
      <c r="G88" s="29"/>
      <c r="H88" s="29"/>
      <c r="I88" s="30" t="s">
        <v>10</v>
      </c>
      <c r="J88" s="31">
        <v>1</v>
      </c>
      <c r="K88" s="29">
        <v>19</v>
      </c>
      <c r="L88" s="7"/>
      <c r="M88" s="5"/>
    </row>
    <row r="89" spans="1:13" x14ac:dyDescent="0.45">
      <c r="A89" s="27" t="s">
        <v>311</v>
      </c>
      <c r="B89" s="40" t="s">
        <v>319</v>
      </c>
      <c r="C89" s="29" t="s">
        <v>20</v>
      </c>
      <c r="D89" s="29" t="s">
        <v>293</v>
      </c>
      <c r="E89" s="27"/>
      <c r="F89" s="29"/>
      <c r="G89" s="29"/>
      <c r="H89" s="29"/>
      <c r="I89" s="30" t="s">
        <v>10</v>
      </c>
      <c r="J89" s="29">
        <v>200</v>
      </c>
      <c r="K89" s="29">
        <v>65535</v>
      </c>
      <c r="L89" s="7"/>
      <c r="M89" s="5"/>
    </row>
    <row r="90" spans="1:13" x14ac:dyDescent="0.45">
      <c r="A90" s="27" t="s">
        <v>311</v>
      </c>
      <c r="B90" s="40" t="s">
        <v>320</v>
      </c>
      <c r="C90" s="30" t="s">
        <v>31</v>
      </c>
      <c r="D90" s="27"/>
      <c r="E90" s="27"/>
      <c r="F90" s="29"/>
      <c r="G90" s="29"/>
      <c r="H90" s="29"/>
      <c r="I90" s="30" t="s">
        <v>12</v>
      </c>
      <c r="J90" s="29">
        <v>1</v>
      </c>
      <c r="K90" s="29">
        <v>0</v>
      </c>
      <c r="L90" s="7"/>
      <c r="M90" s="5"/>
    </row>
    <row r="91" spans="1:13" x14ac:dyDescent="0.45">
      <c r="A91" s="27" t="s">
        <v>311</v>
      </c>
      <c r="B91" s="40" t="s">
        <v>321</v>
      </c>
      <c r="C91" s="30" t="s">
        <v>31</v>
      </c>
      <c r="D91" s="27"/>
      <c r="E91" s="27"/>
      <c r="F91" s="29"/>
      <c r="G91" s="29"/>
      <c r="H91" s="29"/>
      <c r="I91" s="30" t="s">
        <v>12</v>
      </c>
      <c r="J91" s="29">
        <v>1</v>
      </c>
      <c r="K91" s="29">
        <v>0</v>
      </c>
      <c r="L91" s="7"/>
      <c r="M91" s="5"/>
    </row>
    <row r="92" spans="1:13" x14ac:dyDescent="0.45">
      <c r="A92" s="27" t="s">
        <v>311</v>
      </c>
      <c r="B92" s="40" t="s">
        <v>322</v>
      </c>
      <c r="C92" s="30" t="s">
        <v>31</v>
      </c>
      <c r="D92" s="27"/>
      <c r="E92" s="27"/>
      <c r="F92" s="29"/>
      <c r="G92" s="29"/>
      <c r="H92" s="29"/>
      <c r="I92" s="30" t="s">
        <v>12</v>
      </c>
      <c r="J92" s="29">
        <v>1</v>
      </c>
      <c r="K92" s="29">
        <v>0</v>
      </c>
      <c r="L92" s="7"/>
      <c r="M92" s="5"/>
    </row>
    <row r="93" spans="1:13" x14ac:dyDescent="0.45">
      <c r="A93" s="27" t="s">
        <v>311</v>
      </c>
      <c r="B93" s="40" t="s">
        <v>323</v>
      </c>
      <c r="C93" s="30" t="s">
        <v>31</v>
      </c>
      <c r="D93" s="27"/>
      <c r="E93" s="27"/>
      <c r="F93" s="29"/>
      <c r="G93" s="29"/>
      <c r="H93" s="29"/>
      <c r="I93" s="30" t="s">
        <v>12</v>
      </c>
      <c r="J93" s="29">
        <v>1</v>
      </c>
      <c r="K93" s="29">
        <v>0</v>
      </c>
      <c r="L93" s="7"/>
      <c r="M93" s="5"/>
    </row>
    <row r="94" spans="1:13" x14ac:dyDescent="0.45">
      <c r="A94" s="33" t="s">
        <v>308</v>
      </c>
      <c r="B94" s="34" t="s">
        <v>186</v>
      </c>
      <c r="C94" s="35" t="s">
        <v>20</v>
      </c>
      <c r="D94" s="35" t="s">
        <v>294</v>
      </c>
      <c r="E94" s="35"/>
      <c r="F94" s="35"/>
      <c r="G94" s="35"/>
      <c r="H94" s="35"/>
      <c r="I94" s="36" t="s">
        <v>10</v>
      </c>
      <c r="J94" s="37">
        <v>1</v>
      </c>
      <c r="K94" s="35">
        <v>50</v>
      </c>
      <c r="L94" s="7"/>
      <c r="M94" s="5"/>
    </row>
    <row r="95" spans="1:13" x14ac:dyDescent="0.45">
      <c r="A95" s="33" t="s">
        <v>308</v>
      </c>
      <c r="B95" s="34" t="s">
        <v>235</v>
      </c>
      <c r="C95" s="35" t="s">
        <v>20</v>
      </c>
      <c r="D95" s="35" t="s">
        <v>294</v>
      </c>
      <c r="E95" s="35"/>
      <c r="F95" s="35"/>
      <c r="G95" s="35"/>
      <c r="H95" s="35"/>
      <c r="I95" s="36" t="s">
        <v>10</v>
      </c>
      <c r="J95" s="37">
        <v>1</v>
      </c>
      <c r="K95" s="35">
        <v>3</v>
      </c>
      <c r="L95" s="7"/>
      <c r="M95" s="5"/>
    </row>
    <row r="96" spans="1:13" x14ac:dyDescent="0.45">
      <c r="A96" s="33" t="s">
        <v>308</v>
      </c>
      <c r="B96" s="34" t="s">
        <v>234</v>
      </c>
      <c r="C96" s="35" t="s">
        <v>20</v>
      </c>
      <c r="D96" s="35" t="s">
        <v>294</v>
      </c>
      <c r="E96" s="35"/>
      <c r="F96" s="35"/>
      <c r="G96" s="35"/>
      <c r="H96" s="35"/>
      <c r="I96" s="36" t="s">
        <v>10</v>
      </c>
      <c r="J96" s="37">
        <v>1</v>
      </c>
      <c r="K96" s="35">
        <v>50</v>
      </c>
      <c r="L96" s="7"/>
      <c r="M96" s="5"/>
    </row>
    <row r="97" spans="1:13" x14ac:dyDescent="0.45">
      <c r="A97" s="33" t="s">
        <v>308</v>
      </c>
      <c r="B97" s="34" t="s">
        <v>138</v>
      </c>
      <c r="C97" s="35" t="s">
        <v>31</v>
      </c>
      <c r="D97" s="35"/>
      <c r="E97" s="35"/>
      <c r="F97" s="35"/>
      <c r="G97" s="35"/>
      <c r="H97" s="35"/>
      <c r="I97" s="36" t="s">
        <v>140</v>
      </c>
      <c r="J97" s="37">
        <v>1</v>
      </c>
      <c r="K97" s="35">
        <v>0</v>
      </c>
      <c r="L97" s="7"/>
      <c r="M97" s="5"/>
    </row>
    <row r="98" spans="1:13" x14ac:dyDescent="0.45">
      <c r="A98" s="33" t="s">
        <v>308</v>
      </c>
      <c r="B98" s="34" t="s">
        <v>151</v>
      </c>
      <c r="C98" s="35" t="s">
        <v>31</v>
      </c>
      <c r="D98" s="35"/>
      <c r="E98" s="35"/>
      <c r="F98" s="35"/>
      <c r="G98" s="35"/>
      <c r="H98" s="35"/>
      <c r="I98" s="36" t="s">
        <v>145</v>
      </c>
      <c r="J98" s="35">
        <v>12</v>
      </c>
      <c r="K98" s="35">
        <v>0</v>
      </c>
      <c r="L98" s="7"/>
      <c r="M98" s="5"/>
    </row>
    <row r="99" spans="1:13" x14ac:dyDescent="0.45">
      <c r="A99" s="33" t="s">
        <v>308</v>
      </c>
      <c r="B99" s="34" t="s">
        <v>152</v>
      </c>
      <c r="C99" s="35" t="s">
        <v>31</v>
      </c>
      <c r="D99" s="35"/>
      <c r="E99" s="35"/>
      <c r="F99" s="35"/>
      <c r="G99" s="35"/>
      <c r="H99" s="35"/>
      <c r="I99" s="36" t="s">
        <v>147</v>
      </c>
      <c r="J99" s="35">
        <v>12</v>
      </c>
      <c r="K99" s="35">
        <v>0</v>
      </c>
      <c r="L99" s="7"/>
      <c r="M99" s="5"/>
    </row>
    <row r="100" spans="1:13" x14ac:dyDescent="0.45">
      <c r="A100" s="33" t="s">
        <v>308</v>
      </c>
      <c r="B100" s="34" t="s">
        <v>247</v>
      </c>
      <c r="C100" s="35" t="s">
        <v>31</v>
      </c>
      <c r="D100" s="35"/>
      <c r="E100" s="35"/>
      <c r="F100" s="35"/>
      <c r="G100" s="35"/>
      <c r="H100" s="35"/>
      <c r="I100" s="36" t="s">
        <v>10</v>
      </c>
      <c r="J100" s="35">
        <v>1</v>
      </c>
      <c r="K100" s="35">
        <v>0</v>
      </c>
      <c r="L100" s="7"/>
      <c r="M100" s="5"/>
    </row>
    <row r="101" spans="1:13" x14ac:dyDescent="0.45">
      <c r="A101" s="33" t="s">
        <v>308</v>
      </c>
      <c r="B101" s="34" t="s">
        <v>153</v>
      </c>
      <c r="C101" s="35" t="s">
        <v>31</v>
      </c>
      <c r="D101" s="35"/>
      <c r="E101" s="35"/>
      <c r="F101" s="35"/>
      <c r="G101" s="35"/>
      <c r="H101" s="35"/>
      <c r="I101" s="36" t="s">
        <v>149</v>
      </c>
      <c r="J101" s="35">
        <v>1</v>
      </c>
      <c r="K101" s="35">
        <v>0</v>
      </c>
      <c r="L101" s="7"/>
      <c r="M101" s="5"/>
    </row>
    <row r="102" spans="1:13" x14ac:dyDescent="0.45">
      <c r="A102" s="33" t="s">
        <v>308</v>
      </c>
      <c r="B102" s="34" t="s">
        <v>154</v>
      </c>
      <c r="C102" s="35" t="s">
        <v>20</v>
      </c>
      <c r="D102" s="35" t="s">
        <v>294</v>
      </c>
      <c r="E102" s="35"/>
      <c r="F102" s="35"/>
      <c r="G102" s="35"/>
      <c r="H102" s="35"/>
      <c r="I102" s="36" t="s">
        <v>146</v>
      </c>
      <c r="J102" s="35">
        <v>12</v>
      </c>
      <c r="K102" s="35">
        <v>0</v>
      </c>
      <c r="L102" s="7"/>
      <c r="M102" s="5"/>
    </row>
    <row r="103" spans="1:13" x14ac:dyDescent="0.45">
      <c r="A103" s="33" t="s">
        <v>308</v>
      </c>
      <c r="B103" s="34" t="s">
        <v>155</v>
      </c>
      <c r="C103" s="35" t="s">
        <v>20</v>
      </c>
      <c r="D103" s="35" t="s">
        <v>294</v>
      </c>
      <c r="E103" s="35"/>
      <c r="F103" s="35"/>
      <c r="G103" s="35"/>
      <c r="H103" s="35"/>
      <c r="I103" s="36" t="s">
        <v>148</v>
      </c>
      <c r="J103" s="35">
        <v>12</v>
      </c>
      <c r="K103" s="35">
        <v>0</v>
      </c>
      <c r="L103" s="7"/>
      <c r="M103" s="5"/>
    </row>
    <row r="104" spans="1:13" x14ac:dyDescent="0.45">
      <c r="A104" s="33" t="s">
        <v>308</v>
      </c>
      <c r="B104" s="34" t="s">
        <v>156</v>
      </c>
      <c r="C104" s="35" t="s">
        <v>20</v>
      </c>
      <c r="D104" s="35" t="s">
        <v>294</v>
      </c>
      <c r="E104" s="35"/>
      <c r="F104" s="35"/>
      <c r="G104" s="35"/>
      <c r="H104" s="35"/>
      <c r="I104" s="36" t="s">
        <v>150</v>
      </c>
      <c r="J104" s="35">
        <v>1</v>
      </c>
      <c r="K104" s="35">
        <v>0</v>
      </c>
      <c r="L104" s="7"/>
    </row>
    <row r="105" spans="1:13" x14ac:dyDescent="0.45">
      <c r="A105" s="33" t="s">
        <v>308</v>
      </c>
      <c r="B105" s="34" t="s">
        <v>92</v>
      </c>
      <c r="C105" s="35" t="s">
        <v>20</v>
      </c>
      <c r="D105" s="35" t="s">
        <v>295</v>
      </c>
      <c r="E105" s="35"/>
      <c r="F105" s="35"/>
      <c r="G105" s="35"/>
      <c r="H105" s="35"/>
      <c r="I105" s="36" t="s">
        <v>10</v>
      </c>
      <c r="J105" s="37">
        <v>1</v>
      </c>
      <c r="K105" s="35">
        <v>0</v>
      </c>
      <c r="L105" s="7"/>
      <c r="M105" s="22" t="s">
        <v>173</v>
      </c>
    </row>
    <row r="106" spans="1:13" x14ac:dyDescent="0.45">
      <c r="A106" s="33" t="s">
        <v>308</v>
      </c>
      <c r="B106" s="34" t="s">
        <v>159</v>
      </c>
      <c r="C106" s="35" t="s">
        <v>20</v>
      </c>
      <c r="D106" s="35" t="s">
        <v>295</v>
      </c>
      <c r="E106" s="35"/>
      <c r="F106" s="35"/>
      <c r="G106" s="35"/>
      <c r="H106" s="35"/>
      <c r="I106" s="36" t="s">
        <v>10</v>
      </c>
      <c r="J106" s="37">
        <v>1</v>
      </c>
      <c r="K106" s="35">
        <v>1</v>
      </c>
      <c r="L106" s="7"/>
      <c r="M106" s="22" t="s">
        <v>174</v>
      </c>
    </row>
    <row r="107" spans="1:13" x14ac:dyDescent="0.45">
      <c r="A107" s="33" t="s">
        <v>308</v>
      </c>
      <c r="B107" s="34" t="s">
        <v>160</v>
      </c>
      <c r="C107" s="35" t="s">
        <v>20</v>
      </c>
      <c r="D107" s="35" t="s">
        <v>295</v>
      </c>
      <c r="E107" s="35"/>
      <c r="F107" s="35"/>
      <c r="G107" s="35"/>
      <c r="H107" s="35"/>
      <c r="I107" s="36" t="s">
        <v>10</v>
      </c>
      <c r="J107" s="37">
        <v>1</v>
      </c>
      <c r="K107" s="35">
        <v>0</v>
      </c>
      <c r="L107" s="7"/>
      <c r="M107" s="22" t="s">
        <v>175</v>
      </c>
    </row>
    <row r="108" spans="1:13" x14ac:dyDescent="0.45">
      <c r="A108" s="33" t="s">
        <v>308</v>
      </c>
      <c r="B108" s="34" t="s">
        <v>244</v>
      </c>
      <c r="C108" s="35" t="s">
        <v>20</v>
      </c>
      <c r="D108" s="35" t="s">
        <v>295</v>
      </c>
      <c r="E108" s="35"/>
      <c r="F108" s="35"/>
      <c r="G108" s="35"/>
      <c r="H108" s="35"/>
      <c r="I108" s="36" t="s">
        <v>10</v>
      </c>
      <c r="J108" s="37">
        <v>1</v>
      </c>
      <c r="K108" s="35">
        <v>10</v>
      </c>
      <c r="L108" s="7"/>
      <c r="M108" s="5"/>
    </row>
    <row r="109" spans="1:13" x14ac:dyDescent="0.45">
      <c r="A109" s="33" t="s">
        <v>308</v>
      </c>
      <c r="B109" s="34" t="s">
        <v>245</v>
      </c>
      <c r="C109" s="35" t="s">
        <v>31</v>
      </c>
      <c r="D109" s="35"/>
      <c r="E109" s="35"/>
      <c r="F109" s="35"/>
      <c r="G109" s="35"/>
      <c r="H109" s="35"/>
      <c r="I109" s="36" t="s">
        <v>10</v>
      </c>
      <c r="J109" s="37">
        <v>1</v>
      </c>
      <c r="K109" s="35">
        <v>0</v>
      </c>
      <c r="L109" s="7"/>
      <c r="M109" s="5"/>
    </row>
    <row r="110" spans="1:13" x14ac:dyDescent="0.45">
      <c r="A110" s="33" t="s">
        <v>308</v>
      </c>
      <c r="B110" s="34" t="s">
        <v>246</v>
      </c>
      <c r="C110" s="35" t="s">
        <v>31</v>
      </c>
      <c r="D110" s="35"/>
      <c r="E110" s="35"/>
      <c r="F110" s="35"/>
      <c r="G110" s="35"/>
      <c r="H110" s="35"/>
      <c r="I110" s="36" t="s">
        <v>15</v>
      </c>
      <c r="J110" s="37">
        <v>1</v>
      </c>
      <c r="K110" s="35">
        <v>0</v>
      </c>
      <c r="L110" s="7"/>
      <c r="M110" s="5"/>
    </row>
    <row r="111" spans="1:13" x14ac:dyDescent="0.45">
      <c r="A111" s="27" t="s">
        <v>237</v>
      </c>
      <c r="B111" s="28" t="s">
        <v>285</v>
      </c>
      <c r="C111" s="29" t="s">
        <v>31</v>
      </c>
      <c r="D111" s="29"/>
      <c r="E111" s="29"/>
      <c r="F111" s="29"/>
      <c r="G111" s="29"/>
      <c r="H111" s="29"/>
      <c r="I111" s="30" t="s">
        <v>287</v>
      </c>
      <c r="J111" s="31">
        <v>1</v>
      </c>
      <c r="K111" s="29">
        <v>0</v>
      </c>
      <c r="L111" s="7"/>
      <c r="M111" s="22"/>
    </row>
    <row r="112" spans="1:13" x14ac:dyDescent="0.45">
      <c r="A112" s="27" t="s">
        <v>237</v>
      </c>
      <c r="B112" s="28" t="s">
        <v>286</v>
      </c>
      <c r="C112" s="29" t="s">
        <v>20</v>
      </c>
      <c r="D112" s="29" t="s">
        <v>295</v>
      </c>
      <c r="E112" s="29"/>
      <c r="F112" s="29"/>
      <c r="G112" s="29"/>
      <c r="H112" s="29"/>
      <c r="I112" s="30" t="s">
        <v>288</v>
      </c>
      <c r="J112" s="31">
        <v>1</v>
      </c>
      <c r="K112" s="29">
        <v>0</v>
      </c>
      <c r="L112" s="7"/>
      <c r="M112" s="22"/>
    </row>
    <row r="113" spans="1:13" x14ac:dyDescent="0.45">
      <c r="A113" s="27" t="s">
        <v>237</v>
      </c>
      <c r="B113" s="32" t="s">
        <v>289</v>
      </c>
      <c r="C113" s="29" t="s">
        <v>31</v>
      </c>
      <c r="D113" s="29"/>
      <c r="E113" s="29"/>
      <c r="F113" s="29"/>
      <c r="G113" s="29"/>
      <c r="H113" s="29"/>
      <c r="I113" s="30" t="s">
        <v>291</v>
      </c>
      <c r="J113" s="31">
        <v>1</v>
      </c>
      <c r="K113" s="29">
        <v>0</v>
      </c>
      <c r="L113" s="7"/>
      <c r="M113" s="22"/>
    </row>
    <row r="114" spans="1:13" x14ac:dyDescent="0.45">
      <c r="A114" s="27" t="s">
        <v>237</v>
      </c>
      <c r="B114" s="32" t="s">
        <v>290</v>
      </c>
      <c r="C114" s="29" t="s">
        <v>20</v>
      </c>
      <c r="D114" s="29"/>
      <c r="E114" s="29"/>
      <c r="F114" s="29"/>
      <c r="G114" s="29"/>
      <c r="H114" s="29"/>
      <c r="I114" s="30" t="s">
        <v>291</v>
      </c>
      <c r="J114" s="31">
        <v>1</v>
      </c>
      <c r="K114" s="29">
        <v>0</v>
      </c>
      <c r="L114" s="7"/>
      <c r="M114" s="22"/>
    </row>
    <row r="115" spans="1:13" x14ac:dyDescent="0.45">
      <c r="A115" s="27" t="s">
        <v>237</v>
      </c>
      <c r="B115" s="32" t="s">
        <v>99</v>
      </c>
      <c r="C115" s="29" t="s">
        <v>20</v>
      </c>
      <c r="D115" s="29" t="s">
        <v>295</v>
      </c>
      <c r="E115" s="29"/>
      <c r="F115" s="29"/>
      <c r="G115" s="29"/>
      <c r="H115" s="29"/>
      <c r="I115" s="30" t="s">
        <v>109</v>
      </c>
      <c r="J115" s="31">
        <v>1</v>
      </c>
      <c r="K115" s="29">
        <v>0</v>
      </c>
      <c r="L115" s="7"/>
      <c r="M115" s="22"/>
    </row>
    <row r="116" spans="1:13" x14ac:dyDescent="0.45">
      <c r="A116" s="27" t="s">
        <v>237</v>
      </c>
      <c r="B116" s="28" t="s">
        <v>100</v>
      </c>
      <c r="C116" s="29" t="s">
        <v>20</v>
      </c>
      <c r="D116" s="29" t="s">
        <v>297</v>
      </c>
      <c r="E116" s="29"/>
      <c r="F116" s="29"/>
      <c r="G116" s="29"/>
      <c r="H116" s="29"/>
      <c r="I116" s="30" t="s">
        <v>85</v>
      </c>
      <c r="J116" s="31">
        <v>2</v>
      </c>
      <c r="K116" s="29">
        <v>0</v>
      </c>
      <c r="L116" s="7"/>
      <c r="M116" s="22"/>
    </row>
    <row r="117" spans="1:13" x14ac:dyDescent="0.45">
      <c r="A117" s="27" t="s">
        <v>237</v>
      </c>
      <c r="B117" s="28" t="s">
        <v>101</v>
      </c>
      <c r="C117" s="29" t="s">
        <v>20</v>
      </c>
      <c r="D117" s="29" t="s">
        <v>297</v>
      </c>
      <c r="E117" s="29"/>
      <c r="F117" s="29"/>
      <c r="G117" s="29"/>
      <c r="H117" s="29"/>
      <c r="I117" s="30" t="s">
        <v>85</v>
      </c>
      <c r="J117" s="31">
        <v>2</v>
      </c>
      <c r="K117" s="29">
        <v>0</v>
      </c>
      <c r="L117" s="7"/>
      <c r="M117" s="22"/>
    </row>
    <row r="118" spans="1:13" x14ac:dyDescent="0.45">
      <c r="A118" s="27" t="s">
        <v>237</v>
      </c>
      <c r="B118" s="28" t="s">
        <v>96</v>
      </c>
      <c r="C118" s="29" t="s">
        <v>20</v>
      </c>
      <c r="D118" s="29" t="s">
        <v>297</v>
      </c>
      <c r="E118" s="29"/>
      <c r="F118" s="29"/>
      <c r="G118" s="29"/>
      <c r="H118" s="29"/>
      <c r="I118" s="30" t="s">
        <v>85</v>
      </c>
      <c r="J118" s="31">
        <v>2</v>
      </c>
      <c r="K118" s="29">
        <v>0</v>
      </c>
      <c r="L118" s="7"/>
      <c r="M118" s="22"/>
    </row>
    <row r="119" spans="1:13" x14ac:dyDescent="0.45">
      <c r="A119" s="27" t="s">
        <v>237</v>
      </c>
      <c r="B119" s="28" t="s">
        <v>97</v>
      </c>
      <c r="C119" s="29" t="s">
        <v>20</v>
      </c>
      <c r="D119" s="29" t="s">
        <v>297</v>
      </c>
      <c r="E119" s="29"/>
      <c r="F119" s="29"/>
      <c r="G119" s="29"/>
      <c r="H119" s="29"/>
      <c r="I119" s="30" t="s">
        <v>85</v>
      </c>
      <c r="J119" s="31">
        <v>2</v>
      </c>
      <c r="K119" s="29">
        <v>0</v>
      </c>
      <c r="L119" s="7"/>
      <c r="M119" s="22"/>
    </row>
    <row r="120" spans="1:13" x14ac:dyDescent="0.45">
      <c r="A120" s="27" t="s">
        <v>237</v>
      </c>
      <c r="B120" s="28" t="s">
        <v>107</v>
      </c>
      <c r="C120" s="29" t="s">
        <v>20</v>
      </c>
      <c r="D120" s="29" t="s">
        <v>298</v>
      </c>
      <c r="E120" s="29"/>
      <c r="F120" s="29"/>
      <c r="G120" s="29"/>
      <c r="H120" s="29"/>
      <c r="I120" s="30" t="s">
        <v>16</v>
      </c>
      <c r="J120" s="31">
        <v>3</v>
      </c>
      <c r="K120" s="29">
        <v>0</v>
      </c>
      <c r="L120" s="7"/>
      <c r="M120" s="22"/>
    </row>
    <row r="121" spans="1:13" x14ac:dyDescent="0.45">
      <c r="A121" s="27" t="s">
        <v>237</v>
      </c>
      <c r="B121" s="28" t="s">
        <v>108</v>
      </c>
      <c r="C121" s="29" t="s">
        <v>20</v>
      </c>
      <c r="D121" s="29" t="s">
        <v>298</v>
      </c>
      <c r="E121" s="29"/>
      <c r="F121" s="29"/>
      <c r="G121" s="29"/>
      <c r="H121" s="29"/>
      <c r="I121" s="30" t="s">
        <v>16</v>
      </c>
      <c r="J121" s="31">
        <v>3</v>
      </c>
      <c r="K121" s="29">
        <v>0</v>
      </c>
      <c r="L121" s="7"/>
      <c r="M121" s="22"/>
    </row>
    <row r="122" spans="1:13" x14ac:dyDescent="0.45">
      <c r="A122" s="27" t="s">
        <v>237</v>
      </c>
      <c r="B122" s="28" t="s">
        <v>71</v>
      </c>
      <c r="C122" s="29" t="s">
        <v>31</v>
      </c>
      <c r="D122" s="29"/>
      <c r="E122" s="29"/>
      <c r="F122" s="29"/>
      <c r="G122" s="29"/>
      <c r="H122" s="29"/>
      <c r="I122" s="30" t="s">
        <v>70</v>
      </c>
      <c r="J122" s="31">
        <v>2</v>
      </c>
      <c r="K122" s="29">
        <v>0</v>
      </c>
      <c r="L122" s="7"/>
      <c r="M122" s="22"/>
    </row>
    <row r="123" spans="1:13" x14ac:dyDescent="0.45">
      <c r="A123" s="27" t="s">
        <v>237</v>
      </c>
      <c r="B123" s="28" t="s">
        <v>72</v>
      </c>
      <c r="C123" s="29" t="s">
        <v>31</v>
      </c>
      <c r="D123" s="29"/>
      <c r="E123" s="29"/>
      <c r="F123" s="29"/>
      <c r="G123" s="29"/>
      <c r="H123" s="29"/>
      <c r="I123" s="30" t="s">
        <v>70</v>
      </c>
      <c r="J123" s="31">
        <v>2</v>
      </c>
      <c r="K123" s="29">
        <v>0</v>
      </c>
      <c r="L123" s="7"/>
      <c r="M123" s="22"/>
    </row>
    <row r="124" spans="1:13" x14ac:dyDescent="0.45">
      <c r="A124" s="27" t="s">
        <v>237</v>
      </c>
      <c r="B124" s="28" t="s">
        <v>48</v>
      </c>
      <c r="C124" s="29" t="s">
        <v>31</v>
      </c>
      <c r="D124" s="29"/>
      <c r="E124" s="29"/>
      <c r="F124" s="29"/>
      <c r="G124" s="29"/>
      <c r="H124" s="29"/>
      <c r="I124" s="30" t="s">
        <v>15</v>
      </c>
      <c r="J124" s="31">
        <v>1</v>
      </c>
      <c r="K124" s="29">
        <v>0</v>
      </c>
      <c r="L124" s="7"/>
      <c r="M124" s="22"/>
    </row>
    <row r="125" spans="1:13" x14ac:dyDescent="0.45">
      <c r="A125" s="27" t="s">
        <v>237</v>
      </c>
      <c r="B125" s="28" t="s">
        <v>206</v>
      </c>
      <c r="C125" s="29" t="s">
        <v>31</v>
      </c>
      <c r="D125" s="29"/>
      <c r="E125" s="29"/>
      <c r="F125" s="29"/>
      <c r="G125" s="29"/>
      <c r="H125" s="29"/>
      <c r="I125" s="30" t="s">
        <v>12</v>
      </c>
      <c r="J125" s="31">
        <v>1</v>
      </c>
      <c r="K125" s="29">
        <v>0</v>
      </c>
      <c r="L125" s="7"/>
      <c r="M125" s="22"/>
    </row>
    <row r="126" spans="1:13" x14ac:dyDescent="0.45">
      <c r="A126" s="27" t="s">
        <v>237</v>
      </c>
      <c r="B126" s="28" t="s">
        <v>135</v>
      </c>
      <c r="C126" s="29" t="s">
        <v>20</v>
      </c>
      <c r="D126" s="29" t="s">
        <v>296</v>
      </c>
      <c r="E126" s="29"/>
      <c r="F126" s="29"/>
      <c r="G126" s="29"/>
      <c r="H126" s="29"/>
      <c r="I126" s="30" t="s">
        <v>10</v>
      </c>
      <c r="J126" s="29">
        <v>20</v>
      </c>
      <c r="K126" s="29">
        <v>0</v>
      </c>
      <c r="L126" s="7"/>
      <c r="M126" s="5"/>
    </row>
    <row r="127" spans="1:13" x14ac:dyDescent="0.45">
      <c r="A127" s="27" t="s">
        <v>237</v>
      </c>
      <c r="B127" s="28" t="s">
        <v>73</v>
      </c>
      <c r="C127" s="29" t="s">
        <v>31</v>
      </c>
      <c r="D127" s="29"/>
      <c r="E127" s="29"/>
      <c r="F127" s="29"/>
      <c r="G127" s="29"/>
      <c r="H127" s="29"/>
      <c r="I127" s="30" t="s">
        <v>70</v>
      </c>
      <c r="J127" s="31">
        <v>20</v>
      </c>
      <c r="K127" s="29">
        <v>0</v>
      </c>
      <c r="L127" s="7"/>
      <c r="M127" s="22"/>
    </row>
    <row r="128" spans="1:13" x14ac:dyDescent="0.45">
      <c r="A128" s="27" t="s">
        <v>237</v>
      </c>
      <c r="B128" s="28" t="s">
        <v>267</v>
      </c>
      <c r="C128" s="29" t="s">
        <v>31</v>
      </c>
      <c r="D128" s="29"/>
      <c r="E128" s="29"/>
      <c r="F128" s="29"/>
      <c r="G128" s="29"/>
      <c r="H128" s="29"/>
      <c r="I128" s="30" t="s">
        <v>70</v>
      </c>
      <c r="J128" s="31">
        <v>20</v>
      </c>
      <c r="K128" s="29">
        <v>0</v>
      </c>
      <c r="L128" s="7"/>
      <c r="M128" s="22"/>
    </row>
    <row r="129" spans="1:13" x14ac:dyDescent="0.45">
      <c r="A129" s="27" t="s">
        <v>237</v>
      </c>
      <c r="B129" s="28" t="s">
        <v>268</v>
      </c>
      <c r="C129" s="29" t="s">
        <v>31</v>
      </c>
      <c r="D129" s="29"/>
      <c r="E129" s="29"/>
      <c r="F129" s="29"/>
      <c r="G129" s="29"/>
      <c r="H129" s="29"/>
      <c r="I129" s="30" t="s">
        <v>94</v>
      </c>
      <c r="J129" s="31">
        <v>20</v>
      </c>
      <c r="K129" s="29">
        <v>0</v>
      </c>
      <c r="L129" s="7"/>
      <c r="M129" s="22"/>
    </row>
    <row r="130" spans="1:13" x14ac:dyDescent="0.45">
      <c r="A130" s="27" t="s">
        <v>237</v>
      </c>
      <c r="B130" s="28" t="s">
        <v>269</v>
      </c>
      <c r="C130" s="29" t="s">
        <v>31</v>
      </c>
      <c r="D130" s="29"/>
      <c r="E130" s="29"/>
      <c r="F130" s="29"/>
      <c r="G130" s="29"/>
      <c r="H130" s="29"/>
      <c r="I130" s="30" t="s">
        <v>266</v>
      </c>
      <c r="J130" s="31">
        <v>20</v>
      </c>
      <c r="K130" s="29">
        <v>0</v>
      </c>
      <c r="L130" s="7"/>
      <c r="M130" s="22"/>
    </row>
    <row r="131" spans="1:13" x14ac:dyDescent="0.45">
      <c r="A131" s="27" t="s">
        <v>237</v>
      </c>
      <c r="B131" s="28" t="s">
        <v>270</v>
      </c>
      <c r="C131" s="29" t="s">
        <v>20</v>
      </c>
      <c r="D131" s="29" t="s">
        <v>296</v>
      </c>
      <c r="E131" s="29"/>
      <c r="F131" s="29"/>
      <c r="G131" s="29"/>
      <c r="H131" s="29"/>
      <c r="I131" s="30" t="s">
        <v>16</v>
      </c>
      <c r="J131" s="31">
        <v>1</v>
      </c>
      <c r="K131" s="29">
        <v>0</v>
      </c>
      <c r="L131" s="7"/>
      <c r="M131" s="22"/>
    </row>
    <row r="132" spans="1:13" x14ac:dyDescent="0.45">
      <c r="A132" s="27" t="s">
        <v>237</v>
      </c>
      <c r="B132" s="28" t="s">
        <v>271</v>
      </c>
      <c r="C132" s="29" t="s">
        <v>20</v>
      </c>
      <c r="D132" s="29" t="s">
        <v>296</v>
      </c>
      <c r="E132" s="29"/>
      <c r="F132" s="29"/>
      <c r="G132" s="29"/>
      <c r="H132" s="29"/>
      <c r="I132" s="30" t="s">
        <v>16</v>
      </c>
      <c r="J132" s="31">
        <v>1</v>
      </c>
      <c r="K132" s="29">
        <v>0</v>
      </c>
      <c r="L132" s="7"/>
      <c r="M132" s="22"/>
    </row>
    <row r="133" spans="1:13" x14ac:dyDescent="0.45">
      <c r="A133" s="27" t="s">
        <v>237</v>
      </c>
      <c r="B133" s="28" t="s">
        <v>136</v>
      </c>
      <c r="C133" s="29" t="s">
        <v>20</v>
      </c>
      <c r="D133" s="29" t="s">
        <v>296</v>
      </c>
      <c r="E133" s="29"/>
      <c r="F133" s="29"/>
      <c r="G133" s="29"/>
      <c r="H133" s="29"/>
      <c r="I133" s="30" t="s">
        <v>10</v>
      </c>
      <c r="J133" s="29">
        <v>20</v>
      </c>
      <c r="K133" s="29">
        <v>0</v>
      </c>
      <c r="L133" s="7"/>
      <c r="M133" s="5"/>
    </row>
    <row r="134" spans="1:13" x14ac:dyDescent="0.45">
      <c r="A134" s="27" t="s">
        <v>237</v>
      </c>
      <c r="B134" s="28" t="s">
        <v>74</v>
      </c>
      <c r="C134" s="29" t="s">
        <v>31</v>
      </c>
      <c r="D134" s="29"/>
      <c r="E134" s="29"/>
      <c r="F134" s="29"/>
      <c r="G134" s="29"/>
      <c r="H134" s="29"/>
      <c r="I134" s="30" t="s">
        <v>70</v>
      </c>
      <c r="J134" s="31">
        <v>20</v>
      </c>
      <c r="K134" s="29">
        <v>0</v>
      </c>
      <c r="L134" s="7"/>
      <c r="M134" s="22"/>
    </row>
    <row r="135" spans="1:13" x14ac:dyDescent="0.45">
      <c r="A135" s="27" t="s">
        <v>237</v>
      </c>
      <c r="B135" s="28" t="s">
        <v>272</v>
      </c>
      <c r="C135" s="29" t="s">
        <v>31</v>
      </c>
      <c r="D135" s="29"/>
      <c r="E135" s="29"/>
      <c r="F135" s="29"/>
      <c r="G135" s="29"/>
      <c r="H135" s="29"/>
      <c r="I135" s="30" t="s">
        <v>70</v>
      </c>
      <c r="J135" s="31">
        <v>20</v>
      </c>
      <c r="K135" s="29">
        <v>0</v>
      </c>
      <c r="L135" s="7"/>
      <c r="M135" s="22"/>
    </row>
    <row r="136" spans="1:13" x14ac:dyDescent="0.45">
      <c r="A136" s="27" t="s">
        <v>237</v>
      </c>
      <c r="B136" s="28" t="s">
        <v>273</v>
      </c>
      <c r="C136" s="29" t="s">
        <v>31</v>
      </c>
      <c r="D136" s="29"/>
      <c r="E136" s="29"/>
      <c r="F136" s="29"/>
      <c r="G136" s="29"/>
      <c r="H136" s="29"/>
      <c r="I136" s="30" t="s">
        <v>94</v>
      </c>
      <c r="J136" s="31">
        <v>20</v>
      </c>
      <c r="K136" s="29">
        <v>0</v>
      </c>
      <c r="L136" s="7"/>
      <c r="M136" s="22"/>
    </row>
    <row r="137" spans="1:13" x14ac:dyDescent="0.45">
      <c r="A137" s="27" t="s">
        <v>237</v>
      </c>
      <c r="B137" s="28" t="s">
        <v>274</v>
      </c>
      <c r="C137" s="29" t="s">
        <v>31</v>
      </c>
      <c r="D137" s="29"/>
      <c r="E137" s="29"/>
      <c r="F137" s="29"/>
      <c r="G137" s="29"/>
      <c r="H137" s="29"/>
      <c r="I137" s="30" t="s">
        <v>266</v>
      </c>
      <c r="J137" s="31">
        <v>20</v>
      </c>
      <c r="K137" s="29">
        <v>0</v>
      </c>
      <c r="L137" s="7"/>
      <c r="M137" s="22"/>
    </row>
    <row r="138" spans="1:13" x14ac:dyDescent="0.45">
      <c r="A138" s="27" t="s">
        <v>237</v>
      </c>
      <c r="B138" s="28" t="s">
        <v>275</v>
      </c>
      <c r="C138" s="29" t="s">
        <v>20</v>
      </c>
      <c r="D138" s="29" t="s">
        <v>296</v>
      </c>
      <c r="E138" s="29"/>
      <c r="F138" s="29"/>
      <c r="G138" s="29"/>
      <c r="H138" s="29"/>
      <c r="I138" s="30" t="s">
        <v>16</v>
      </c>
      <c r="J138" s="31">
        <v>1</v>
      </c>
      <c r="K138" s="29">
        <v>0</v>
      </c>
      <c r="L138" s="7"/>
      <c r="M138" s="22"/>
    </row>
    <row r="139" spans="1:13" x14ac:dyDescent="0.45">
      <c r="A139" s="27" t="s">
        <v>237</v>
      </c>
      <c r="B139" s="28" t="s">
        <v>276</v>
      </c>
      <c r="C139" s="29" t="s">
        <v>20</v>
      </c>
      <c r="D139" s="29" t="s">
        <v>296</v>
      </c>
      <c r="E139" s="29"/>
      <c r="F139" s="29"/>
      <c r="G139" s="29"/>
      <c r="H139" s="29"/>
      <c r="I139" s="30" t="s">
        <v>16</v>
      </c>
      <c r="J139" s="31">
        <v>1</v>
      </c>
      <c r="K139" s="29">
        <v>0</v>
      </c>
      <c r="L139" s="7"/>
      <c r="M139" s="22"/>
    </row>
    <row r="140" spans="1:13" x14ac:dyDescent="0.45">
      <c r="A140" s="27" t="s">
        <v>237</v>
      </c>
      <c r="B140" s="28" t="s">
        <v>95</v>
      </c>
      <c r="C140" s="29" t="s">
        <v>20</v>
      </c>
      <c r="D140" s="29" t="s">
        <v>296</v>
      </c>
      <c r="E140" s="29"/>
      <c r="F140" s="29"/>
      <c r="G140" s="29"/>
      <c r="H140" s="29"/>
      <c r="I140" s="30" t="s">
        <v>16</v>
      </c>
      <c r="J140" s="29">
        <v>4000</v>
      </c>
      <c r="K140" s="29">
        <v>0</v>
      </c>
      <c r="L140" s="7"/>
      <c r="M140" s="22"/>
    </row>
    <row r="141" spans="1:13" x14ac:dyDescent="0.45">
      <c r="A141" s="27" t="s">
        <v>237</v>
      </c>
      <c r="B141" s="28" t="s">
        <v>183</v>
      </c>
      <c r="C141" s="29" t="s">
        <v>31</v>
      </c>
      <c r="D141" s="29"/>
      <c r="E141" s="29"/>
      <c r="F141" s="29"/>
      <c r="G141" s="29"/>
      <c r="H141" s="29"/>
      <c r="I141" s="30" t="s">
        <v>10</v>
      </c>
      <c r="J141" s="31">
        <v>1</v>
      </c>
      <c r="K141" s="29">
        <v>0</v>
      </c>
      <c r="L141" s="7"/>
      <c r="M141" s="22" t="s">
        <v>202</v>
      </c>
    </row>
    <row r="142" spans="1:13" x14ac:dyDescent="0.45">
      <c r="A142" s="27" t="s">
        <v>237</v>
      </c>
      <c r="B142" s="28" t="s">
        <v>180</v>
      </c>
      <c r="C142" s="29" t="s">
        <v>20</v>
      </c>
      <c r="D142" s="29" t="s">
        <v>295</v>
      </c>
      <c r="E142" s="29"/>
      <c r="F142" s="29"/>
      <c r="G142" s="29"/>
      <c r="H142" s="29"/>
      <c r="I142" s="30" t="s">
        <v>10</v>
      </c>
      <c r="J142" s="31">
        <v>1</v>
      </c>
      <c r="K142" s="29">
        <v>100</v>
      </c>
      <c r="L142" s="7"/>
      <c r="M142" s="22" t="s">
        <v>182</v>
      </c>
    </row>
    <row r="143" spans="1:13" x14ac:dyDescent="0.45">
      <c r="A143" s="27" t="s">
        <v>237</v>
      </c>
      <c r="B143" s="28" t="s">
        <v>179</v>
      </c>
      <c r="C143" s="29" t="s">
        <v>20</v>
      </c>
      <c r="D143" s="29" t="s">
        <v>295</v>
      </c>
      <c r="E143" s="29"/>
      <c r="F143" s="29"/>
      <c r="G143" s="29"/>
      <c r="H143" s="29"/>
      <c r="I143" s="30" t="s">
        <v>10</v>
      </c>
      <c r="J143" s="31">
        <v>1</v>
      </c>
      <c r="K143" s="29">
        <v>200</v>
      </c>
      <c r="L143" s="7"/>
      <c r="M143" s="22" t="s">
        <v>182</v>
      </c>
    </row>
    <row r="144" spans="1:13" x14ac:dyDescent="0.45">
      <c r="A144" s="33" t="s">
        <v>309</v>
      </c>
      <c r="B144" s="34" t="s">
        <v>242</v>
      </c>
      <c r="C144" s="35" t="s">
        <v>20</v>
      </c>
      <c r="D144" s="35" t="s">
        <v>295</v>
      </c>
      <c r="E144" s="35"/>
      <c r="F144" s="35"/>
      <c r="G144" s="35"/>
      <c r="H144" s="35"/>
      <c r="I144" s="36" t="s">
        <v>241</v>
      </c>
      <c r="J144" s="37">
        <v>1</v>
      </c>
      <c r="K144" s="35">
        <v>0</v>
      </c>
      <c r="L144" s="7"/>
      <c r="M144" s="22"/>
    </row>
  </sheetData>
  <autoFilter ref="A1:M144" xr:uid="{8019E63E-7E66-4FFB-874E-5A97E00F4663}"/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D0904FF-589D-4D38-B3DE-CF63F80DE173}">
          <x14:formula1>
            <xm:f>Internal!$A$2:$A$4</xm:f>
          </x14:formula1>
          <xm:sqref>E63:G65 C67:C83 H60:H61 C85:C89 C2:C13 C140:C144 C113:C125 C46:C65 C101:C110 C97:C99 C29:C37 C19:C20</xm:sqref>
        </x14:dataValidation>
        <x14:dataValidation type="list" allowBlank="1" showInputMessage="1" showErrorMessage="1" xr:uid="{10CD0986-1C18-445D-A245-04E17BB13014}">
          <x14:formula1>
            <xm:f>eTag1_SettingGroup!$A$2:$A$8</xm:f>
          </x14:formula1>
          <xm:sqref>D94:D144 D22:D37 D39:D89 D2:D20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994C-CE01-431D-8C39-980EDFF3D074}">
  <dimension ref="A1:C8"/>
  <sheetViews>
    <sheetView workbookViewId="0">
      <selection activeCell="A2" sqref="A2:C5"/>
    </sheetView>
  </sheetViews>
  <sheetFormatPr defaultRowHeight="14.25" x14ac:dyDescent="0.45"/>
  <cols>
    <col min="1" max="1" width="30.265625" bestFit="1" customWidth="1"/>
    <col min="2" max="2" width="10.265625" bestFit="1" customWidth="1"/>
    <col min="3" max="3" width="12.1328125" bestFit="1" customWidth="1"/>
  </cols>
  <sheetData>
    <row r="1" spans="1:3" ht="15.75" x14ac:dyDescent="0.45">
      <c r="A1" s="3" t="s">
        <v>0</v>
      </c>
      <c r="B1" s="3" t="s">
        <v>37</v>
      </c>
      <c r="C1" s="3" t="s">
        <v>1</v>
      </c>
    </row>
    <row r="2" spans="1:3" x14ac:dyDescent="0.45">
      <c r="A2" s="2" t="s">
        <v>292</v>
      </c>
      <c r="B2" s="6">
        <v>1</v>
      </c>
      <c r="C2" s="6"/>
    </row>
    <row r="3" spans="1:3" x14ac:dyDescent="0.45">
      <c r="A3" s="2" t="s">
        <v>293</v>
      </c>
      <c r="B3" s="6">
        <v>2</v>
      </c>
      <c r="C3" s="6"/>
    </row>
    <row r="4" spans="1:3" x14ac:dyDescent="0.45">
      <c r="A4" s="2" t="s">
        <v>294</v>
      </c>
      <c r="B4" s="6">
        <v>3</v>
      </c>
      <c r="C4" s="6"/>
    </row>
    <row r="5" spans="1:3" x14ac:dyDescent="0.45">
      <c r="A5" s="2" t="s">
        <v>295</v>
      </c>
      <c r="B5" s="6">
        <v>4</v>
      </c>
      <c r="C5" s="6"/>
    </row>
    <row r="6" spans="1:3" x14ac:dyDescent="0.45">
      <c r="A6" s="2" t="s">
        <v>296</v>
      </c>
      <c r="B6" s="6">
        <v>5</v>
      </c>
      <c r="C6" s="6"/>
    </row>
    <row r="7" spans="1:3" x14ac:dyDescent="0.45">
      <c r="A7" s="2" t="s">
        <v>297</v>
      </c>
      <c r="B7" s="6">
        <v>6</v>
      </c>
      <c r="C7" s="19"/>
    </row>
    <row r="8" spans="1:3" x14ac:dyDescent="0.45">
      <c r="A8" s="2" t="s">
        <v>298</v>
      </c>
      <c r="B8" s="6">
        <v>7</v>
      </c>
      <c r="C8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2DB7-91DD-4445-A1ED-41430099889D}">
  <dimension ref="A1:E10"/>
  <sheetViews>
    <sheetView workbookViewId="0">
      <selection activeCell="A11" sqref="A11:XFD12"/>
    </sheetView>
  </sheetViews>
  <sheetFormatPr defaultColWidth="9.1328125" defaultRowHeight="14.25" x14ac:dyDescent="0.45"/>
  <cols>
    <col min="1" max="1" width="62.265625" style="4" bestFit="1" customWidth="1"/>
    <col min="2" max="2" width="10.265625" style="4" bestFit="1" customWidth="1"/>
    <col min="3" max="3" width="6" style="4" bestFit="1" customWidth="1"/>
    <col min="4" max="4" width="9.265625" style="4" customWidth="1"/>
    <col min="5" max="5" width="60.59765625" style="4" bestFit="1" customWidth="1"/>
    <col min="6" max="16384" width="9.1328125" style="4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9" t="s">
        <v>256</v>
      </c>
      <c r="B2" s="6" t="s">
        <v>12</v>
      </c>
      <c r="C2" s="6">
        <v>1</v>
      </c>
      <c r="D2" s="6">
        <v>0</v>
      </c>
      <c r="E2" s="5"/>
    </row>
    <row r="3" spans="1:5" x14ac:dyDescent="0.45">
      <c r="A3" s="9" t="s">
        <v>257</v>
      </c>
      <c r="B3" s="6" t="s">
        <v>12</v>
      </c>
      <c r="C3" s="6">
        <v>1</v>
      </c>
      <c r="D3" s="6">
        <v>0</v>
      </c>
      <c r="E3" s="5"/>
    </row>
    <row r="4" spans="1:5" x14ac:dyDescent="0.45">
      <c r="A4" s="5" t="s">
        <v>258</v>
      </c>
      <c r="B4" s="6" t="s">
        <v>12</v>
      </c>
      <c r="C4" s="6">
        <v>1</v>
      </c>
      <c r="D4" s="6">
        <v>0</v>
      </c>
      <c r="E4" s="5"/>
    </row>
    <row r="5" spans="1:5" x14ac:dyDescent="0.45">
      <c r="A5" s="9" t="s">
        <v>259</v>
      </c>
      <c r="B5" s="6" t="s">
        <v>12</v>
      </c>
      <c r="C5" s="6">
        <v>1</v>
      </c>
      <c r="D5" s="6">
        <v>0</v>
      </c>
      <c r="E5" s="5"/>
    </row>
    <row r="6" spans="1:5" x14ac:dyDescent="0.45">
      <c r="A6" s="5" t="s">
        <v>260</v>
      </c>
      <c r="B6" s="6" t="s">
        <v>10</v>
      </c>
      <c r="C6" s="6">
        <v>1</v>
      </c>
      <c r="D6" s="6">
        <v>0</v>
      </c>
      <c r="E6" s="22" t="s">
        <v>181</v>
      </c>
    </row>
    <row r="7" spans="1:5" x14ac:dyDescent="0.45">
      <c r="A7" s="9" t="s">
        <v>139</v>
      </c>
      <c r="B7" s="6" t="s">
        <v>12</v>
      </c>
      <c r="C7" s="6">
        <v>1</v>
      </c>
      <c r="D7" s="6">
        <v>0</v>
      </c>
      <c r="E7" s="21"/>
    </row>
    <row r="8" spans="1:5" x14ac:dyDescent="0.45">
      <c r="A8" s="9" t="s">
        <v>261</v>
      </c>
      <c r="B8" s="6" t="s">
        <v>12</v>
      </c>
      <c r="C8" s="6">
        <v>1</v>
      </c>
      <c r="D8" s="6">
        <v>0</v>
      </c>
      <c r="E8" s="5"/>
    </row>
    <row r="9" spans="1:5" x14ac:dyDescent="0.45">
      <c r="A9" s="5" t="s">
        <v>262</v>
      </c>
      <c r="B9" s="6" t="s">
        <v>12</v>
      </c>
      <c r="C9" s="6">
        <v>1</v>
      </c>
      <c r="D9" s="6">
        <v>0</v>
      </c>
      <c r="E9" s="5"/>
    </row>
    <row r="10" spans="1:5" x14ac:dyDescent="0.45">
      <c r="A10" s="5" t="s">
        <v>263</v>
      </c>
      <c r="B10" s="6" t="s">
        <v>12</v>
      </c>
      <c r="C10" s="6">
        <v>1</v>
      </c>
      <c r="D10" s="6">
        <v>0</v>
      </c>
      <c r="E1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60FF-5955-432E-85CC-DBF96DA5A997}">
  <dimension ref="A1:E3"/>
  <sheetViews>
    <sheetView workbookViewId="0">
      <selection activeCell="D21" sqref="D21"/>
    </sheetView>
  </sheetViews>
  <sheetFormatPr defaultColWidth="9.1328125" defaultRowHeight="14.25" x14ac:dyDescent="0.45"/>
  <cols>
    <col min="1" max="1" width="62.265625" style="4" bestFit="1" customWidth="1"/>
    <col min="2" max="2" width="10.265625" style="4" bestFit="1" customWidth="1"/>
    <col min="3" max="3" width="6" style="4" bestFit="1" customWidth="1"/>
    <col min="4" max="4" width="9.265625" style="4" customWidth="1"/>
    <col min="5" max="5" width="60.59765625" style="4" bestFit="1" customWidth="1"/>
    <col min="6" max="16384" width="9.1328125" style="4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4" t="s">
        <v>264</v>
      </c>
      <c r="B2" s="6" t="s">
        <v>12</v>
      </c>
      <c r="C2" s="6">
        <v>1</v>
      </c>
      <c r="D2" s="6">
        <v>0</v>
      </c>
      <c r="E2" s="5"/>
    </row>
    <row r="3" spans="1:5" x14ac:dyDescent="0.45">
      <c r="A3" s="9" t="s">
        <v>265</v>
      </c>
      <c r="B3" s="6" t="s">
        <v>12</v>
      </c>
      <c r="C3" s="6">
        <v>1</v>
      </c>
      <c r="D3" s="6">
        <v>0</v>
      </c>
      <c r="E3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5E7F-52E8-4B7D-85B0-B7F8FB155231}">
  <dimension ref="A1:E7"/>
  <sheetViews>
    <sheetView workbookViewId="0">
      <selection activeCell="A7" sqref="A7"/>
    </sheetView>
  </sheetViews>
  <sheetFormatPr defaultColWidth="9.1328125" defaultRowHeight="14.25" x14ac:dyDescent="0.45"/>
  <cols>
    <col min="1" max="1" width="62.265625" style="4" bestFit="1" customWidth="1"/>
    <col min="2" max="2" width="16.1328125" style="4" bestFit="1" customWidth="1"/>
    <col min="3" max="3" width="5.265625" style="4" bestFit="1" customWidth="1"/>
    <col min="4" max="4" width="9.265625" style="4" customWidth="1"/>
    <col min="5" max="5" width="60.59765625" style="4" bestFit="1" customWidth="1"/>
    <col min="6" max="16384" width="9.1328125" style="4"/>
  </cols>
  <sheetData>
    <row r="1" spans="1:5" ht="47.2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19" t="s">
        <v>16</v>
      </c>
      <c r="B2" s="10" t="s">
        <v>16</v>
      </c>
      <c r="C2" s="8">
        <v>50</v>
      </c>
      <c r="D2" s="6">
        <v>0</v>
      </c>
    </row>
    <row r="3" spans="1:5" x14ac:dyDescent="0.45">
      <c r="A3" s="19" t="s">
        <v>15</v>
      </c>
      <c r="B3" s="10" t="s">
        <v>15</v>
      </c>
      <c r="C3" s="8">
        <v>50</v>
      </c>
      <c r="D3" s="6">
        <v>0</v>
      </c>
      <c r="E3" s="10"/>
    </row>
    <row r="4" spans="1:5" x14ac:dyDescent="0.45">
      <c r="A4" s="19" t="s">
        <v>12</v>
      </c>
      <c r="B4" s="10" t="s">
        <v>12</v>
      </c>
      <c r="C4" s="8">
        <v>50</v>
      </c>
      <c r="D4" s="6">
        <v>0</v>
      </c>
      <c r="E4" s="10"/>
    </row>
    <row r="5" spans="1:5" x14ac:dyDescent="0.45">
      <c r="A5" s="19" t="s">
        <v>13</v>
      </c>
      <c r="B5" s="10" t="s">
        <v>13</v>
      </c>
      <c r="C5" s="8">
        <v>50</v>
      </c>
      <c r="D5" s="6">
        <v>0</v>
      </c>
      <c r="E5" s="10"/>
    </row>
    <row r="6" spans="1:5" x14ac:dyDescent="0.45">
      <c r="A6" s="19" t="s">
        <v>10</v>
      </c>
      <c r="B6" s="10" t="s">
        <v>10</v>
      </c>
      <c r="C6" s="8">
        <v>50</v>
      </c>
      <c r="D6" s="6">
        <v>0</v>
      </c>
      <c r="E6" s="10"/>
    </row>
    <row r="7" spans="1:5" x14ac:dyDescent="0.45">
      <c r="A7" s="19" t="s">
        <v>11</v>
      </c>
      <c r="B7" s="10" t="s">
        <v>11</v>
      </c>
      <c r="C7" s="8">
        <v>50</v>
      </c>
      <c r="D7" s="6">
        <v>0</v>
      </c>
      <c r="E7" s="21"/>
    </row>
  </sheetData>
  <dataValidations count="1">
    <dataValidation type="list" allowBlank="1" showInputMessage="1" showErrorMessage="1" sqref="E3:E6" xr:uid="{69CEA3D5-9689-4ED1-AD6B-ADB231A60410}">
      <formula1>#REF!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108A8-68DB-40A9-8DA4-3D96F8A57633}">
  <dimension ref="A1:E8"/>
  <sheetViews>
    <sheetView workbookViewId="0">
      <selection activeCell="A2" sqref="A2"/>
    </sheetView>
  </sheetViews>
  <sheetFormatPr defaultColWidth="9.1328125" defaultRowHeight="14.25" x14ac:dyDescent="0.45"/>
  <cols>
    <col min="1" max="1" width="62.265625" style="4" bestFit="1" customWidth="1"/>
    <col min="2" max="2" width="16.1328125" style="4" bestFit="1" customWidth="1"/>
    <col min="3" max="3" width="6" style="4" bestFit="1" customWidth="1"/>
    <col min="4" max="4" width="9.265625" style="4" customWidth="1"/>
    <col min="5" max="5" width="60.59765625" style="4" bestFit="1" customWidth="1"/>
    <col min="6" max="16384" width="9.1328125" style="4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9" t="s">
        <v>278</v>
      </c>
      <c r="B2" s="10" t="s">
        <v>254</v>
      </c>
      <c r="C2" s="6">
        <v>1</v>
      </c>
      <c r="D2" s="6">
        <v>0</v>
      </c>
    </row>
    <row r="3" spans="1:5" x14ac:dyDescent="0.45">
      <c r="A3" s="19" t="s">
        <v>279</v>
      </c>
      <c r="B3" s="6" t="s">
        <v>10</v>
      </c>
      <c r="C3" s="6">
        <v>1</v>
      </c>
      <c r="D3" s="6">
        <v>0</v>
      </c>
      <c r="E3" s="10"/>
    </row>
    <row r="4" spans="1:5" x14ac:dyDescent="0.45">
      <c r="A4" s="19" t="s">
        <v>280</v>
      </c>
      <c r="B4" s="6" t="s">
        <v>10</v>
      </c>
      <c r="C4" s="6">
        <v>1</v>
      </c>
      <c r="D4" s="6">
        <v>0</v>
      </c>
      <c r="E4" s="10"/>
    </row>
    <row r="5" spans="1:5" x14ac:dyDescent="0.45">
      <c r="A5" s="19" t="s">
        <v>281</v>
      </c>
      <c r="B5" s="6" t="s">
        <v>10</v>
      </c>
      <c r="C5" s="6">
        <v>1</v>
      </c>
      <c r="D5" s="6">
        <v>0</v>
      </c>
      <c r="E5" s="10"/>
    </row>
    <row r="6" spans="1:5" x14ac:dyDescent="0.45">
      <c r="A6" s="19" t="s">
        <v>282</v>
      </c>
      <c r="B6" s="6" t="s">
        <v>12</v>
      </c>
      <c r="C6" s="6">
        <v>1</v>
      </c>
      <c r="D6" s="6">
        <v>0</v>
      </c>
      <c r="E6" s="10"/>
    </row>
    <row r="7" spans="1:5" x14ac:dyDescent="0.45">
      <c r="A7" s="9" t="s">
        <v>283</v>
      </c>
      <c r="B7" s="6" t="s">
        <v>14</v>
      </c>
      <c r="C7" s="6">
        <v>4</v>
      </c>
      <c r="D7" s="6">
        <v>0</v>
      </c>
      <c r="E7" s="21"/>
    </row>
    <row r="8" spans="1:5" x14ac:dyDescent="0.45">
      <c r="A8" s="5" t="s">
        <v>263</v>
      </c>
      <c r="B8" s="6" t="s">
        <v>12</v>
      </c>
      <c r="C8" s="6">
        <v>1</v>
      </c>
      <c r="D8" s="6">
        <v>0</v>
      </c>
      <c r="E8" s="5"/>
    </row>
  </sheetData>
  <dataValidations count="1">
    <dataValidation type="list" allowBlank="1" showInputMessage="1" showErrorMessage="1" sqref="E3:E6" xr:uid="{59DEA79D-1AE0-457A-BFED-F3A56FA9B1D3}">
      <formula1>#REF!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553B-AF3A-4A28-90B2-9ADE449275D6}">
  <dimension ref="A1:E3"/>
  <sheetViews>
    <sheetView workbookViewId="0">
      <selection activeCell="A5" sqref="A5"/>
    </sheetView>
  </sheetViews>
  <sheetFormatPr defaultColWidth="9.1328125" defaultRowHeight="14.25" x14ac:dyDescent="0.45"/>
  <cols>
    <col min="1" max="1" width="62.265625" style="4" bestFit="1" customWidth="1"/>
    <col min="2" max="2" width="15" style="4" bestFit="1" customWidth="1"/>
    <col min="3" max="4" width="9.265625" style="4" customWidth="1"/>
    <col min="5" max="5" width="60.59765625" style="4" bestFit="1" customWidth="1"/>
    <col min="6" max="16384" width="9.1328125" style="4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9" t="s">
        <v>278</v>
      </c>
      <c r="B2" s="10" t="s">
        <v>255</v>
      </c>
      <c r="C2" s="10">
        <v>1</v>
      </c>
      <c r="D2" s="10">
        <v>0</v>
      </c>
      <c r="E2" s="18"/>
    </row>
    <row r="3" spans="1:5" x14ac:dyDescent="0.45">
      <c r="A3" s="9" t="s">
        <v>284</v>
      </c>
      <c r="B3" s="10" t="s">
        <v>10</v>
      </c>
      <c r="C3" s="10">
        <v>1</v>
      </c>
      <c r="D3" s="10">
        <v>0</v>
      </c>
      <c r="E3" s="18"/>
    </row>
  </sheetData>
  <dataValidations count="1">
    <dataValidation type="list" allowBlank="1" showInputMessage="1" showErrorMessage="1" sqref="B3" xr:uid="{DD59AA1F-8D51-4655-B2F5-503C50484FE4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A6F94D-97DA-435B-87F7-D30521CCF3E6}">
          <x14:formula1>
            <xm:f>Internal!#REF!</xm:f>
          </x14:formula1>
          <xm:sqref>B3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E6"/>
  <sheetViews>
    <sheetView workbookViewId="0">
      <selection activeCell="E1" sqref="E1:E1048576"/>
    </sheetView>
  </sheetViews>
  <sheetFormatPr defaultColWidth="9.1328125" defaultRowHeight="14.25" x14ac:dyDescent="0.45"/>
  <cols>
    <col min="1" max="1" width="62.265625" style="4" bestFit="1" customWidth="1"/>
    <col min="2" max="2" width="24" style="4" bestFit="1" customWidth="1"/>
    <col min="3" max="4" width="8.1328125" style="4" customWidth="1"/>
    <col min="5" max="5" width="60.59765625" style="4" bestFit="1" customWidth="1"/>
    <col min="6" max="16384" width="9.1328125" style="4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9" t="s">
        <v>141</v>
      </c>
      <c r="B2" s="6" t="s">
        <v>10</v>
      </c>
      <c r="C2" s="6">
        <v>1</v>
      </c>
      <c r="D2" s="6">
        <v>1</v>
      </c>
      <c r="E2" s="5"/>
    </row>
    <row r="3" spans="1:5" x14ac:dyDescent="0.45">
      <c r="A3" s="9" t="s">
        <v>139</v>
      </c>
      <c r="B3" s="6" t="s">
        <v>10</v>
      </c>
      <c r="C3" s="6">
        <v>1</v>
      </c>
      <c r="D3" s="6">
        <v>0</v>
      </c>
      <c r="E3" s="5"/>
    </row>
    <row r="4" spans="1:5" x14ac:dyDescent="0.45">
      <c r="A4" s="9" t="s">
        <v>157</v>
      </c>
      <c r="B4" s="6" t="s">
        <v>143</v>
      </c>
      <c r="C4" s="6">
        <v>12</v>
      </c>
      <c r="D4" s="6">
        <v>0</v>
      </c>
      <c r="E4" s="5"/>
    </row>
    <row r="5" spans="1:5" x14ac:dyDescent="0.45">
      <c r="A5" s="9" t="s">
        <v>158</v>
      </c>
      <c r="B5" s="6" t="s">
        <v>143</v>
      </c>
      <c r="C5" s="6">
        <v>12</v>
      </c>
      <c r="D5" s="6">
        <v>0</v>
      </c>
      <c r="E5" s="5"/>
    </row>
    <row r="6" spans="1:5" x14ac:dyDescent="0.45">
      <c r="A6" s="9" t="s">
        <v>144</v>
      </c>
      <c r="B6" s="6" t="s">
        <v>143</v>
      </c>
      <c r="C6" s="6">
        <v>1</v>
      </c>
      <c r="D6" s="6">
        <v>0</v>
      </c>
      <c r="E6" s="5"/>
    </row>
  </sheetData>
  <dataValidations count="1">
    <dataValidation type="list" allowBlank="1" showInputMessage="1" showErrorMessage="1" sqref="B4:B6" xr:uid="{2DBC3235-D392-491C-9380-0DE81E08844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2D3F-0495-41EE-8B32-7D7C42E45A2A}">
  <dimension ref="A1:E7"/>
  <sheetViews>
    <sheetView workbookViewId="0">
      <selection activeCell="E1" sqref="E1:E1048576"/>
    </sheetView>
  </sheetViews>
  <sheetFormatPr defaultColWidth="9.1328125" defaultRowHeight="14.25" x14ac:dyDescent="0.45"/>
  <cols>
    <col min="1" max="1" width="18" style="4" bestFit="1" customWidth="1"/>
    <col min="2" max="2" width="10.265625" style="4" bestFit="1" customWidth="1"/>
    <col min="3" max="4" width="8.1328125" style="4" customWidth="1"/>
    <col min="5" max="5" width="60.59765625" style="4" bestFit="1" customWidth="1"/>
    <col min="6" max="16384" width="9.1328125" style="4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9" t="s">
        <v>142</v>
      </c>
      <c r="B2" s="6" t="s">
        <v>10</v>
      </c>
      <c r="C2" s="6">
        <v>1</v>
      </c>
      <c r="D2" s="6">
        <v>1</v>
      </c>
      <c r="E2" s="5"/>
    </row>
    <row r="3" spans="1:5" x14ac:dyDescent="0.45">
      <c r="A3" s="9" t="s">
        <v>230</v>
      </c>
      <c r="B3" s="6" t="s">
        <v>10</v>
      </c>
      <c r="C3" s="6">
        <v>1</v>
      </c>
      <c r="D3" s="6">
        <v>0</v>
      </c>
      <c r="E3" s="5"/>
    </row>
    <row r="4" spans="1:5" x14ac:dyDescent="0.45">
      <c r="A4" s="9" t="s">
        <v>231</v>
      </c>
      <c r="B4" s="6" t="s">
        <v>12</v>
      </c>
      <c r="C4" s="6">
        <v>1</v>
      </c>
      <c r="D4" s="6">
        <v>0</v>
      </c>
      <c r="E4" s="5"/>
    </row>
    <row r="5" spans="1:5" x14ac:dyDescent="0.45">
      <c r="A5" s="9" t="s">
        <v>134</v>
      </c>
      <c r="B5" s="6" t="s">
        <v>10</v>
      </c>
      <c r="C5" s="6">
        <v>1</v>
      </c>
      <c r="D5" s="6">
        <v>1</v>
      </c>
      <c r="E5" s="5"/>
    </row>
    <row r="6" spans="1:5" x14ac:dyDescent="0.45">
      <c r="A6" s="9" t="s">
        <v>232</v>
      </c>
      <c r="B6" s="6" t="s">
        <v>10</v>
      </c>
      <c r="C6" s="6">
        <v>1</v>
      </c>
      <c r="D6" s="6">
        <v>0</v>
      </c>
      <c r="E6" s="5"/>
    </row>
    <row r="7" spans="1:5" x14ac:dyDescent="0.45">
      <c r="A7" s="9" t="s">
        <v>233</v>
      </c>
      <c r="B7" s="6" t="s">
        <v>12</v>
      </c>
      <c r="C7" s="6">
        <v>1</v>
      </c>
      <c r="D7" s="6">
        <v>0</v>
      </c>
      <c r="E7" s="5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4A9F-1076-46C8-97FF-73072558C53E}">
  <dimension ref="A1:E8"/>
  <sheetViews>
    <sheetView workbookViewId="0">
      <selection activeCell="E1" sqref="E1:E1048576"/>
    </sheetView>
  </sheetViews>
  <sheetFormatPr defaultRowHeight="14.25" x14ac:dyDescent="0.45"/>
  <cols>
    <col min="1" max="1" width="23.265625" bestFit="1" customWidth="1"/>
    <col min="2" max="2" width="10.265625" bestFit="1" customWidth="1"/>
    <col min="3" max="3" width="6" bestFit="1" customWidth="1"/>
    <col min="4" max="4" width="9.265625" customWidth="1"/>
    <col min="5" max="5" width="12.1328125" bestFit="1" customWidth="1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5" t="s">
        <v>45</v>
      </c>
      <c r="B2" s="6" t="s">
        <v>16</v>
      </c>
      <c r="C2" s="6">
        <v>3</v>
      </c>
      <c r="D2" s="6">
        <v>0</v>
      </c>
      <c r="E2" s="6"/>
    </row>
    <row r="3" spans="1:5" x14ac:dyDescent="0.45">
      <c r="A3" s="5" t="s">
        <v>46</v>
      </c>
      <c r="B3" s="6" t="s">
        <v>16</v>
      </c>
      <c r="C3" s="6">
        <v>3</v>
      </c>
      <c r="D3" s="6">
        <v>0</v>
      </c>
      <c r="E3" s="6"/>
    </row>
    <row r="4" spans="1:5" x14ac:dyDescent="0.45">
      <c r="A4" s="5" t="s">
        <v>47</v>
      </c>
      <c r="B4" s="6" t="s">
        <v>12</v>
      </c>
      <c r="C4" s="6">
        <v>1</v>
      </c>
      <c r="D4" s="6">
        <v>0</v>
      </c>
      <c r="E4" s="6"/>
    </row>
    <row r="5" spans="1:5" x14ac:dyDescent="0.45">
      <c r="A5" s="20" t="s">
        <v>229</v>
      </c>
      <c r="B5" s="6" t="s">
        <v>12</v>
      </c>
      <c r="C5" s="6">
        <v>1</v>
      </c>
      <c r="D5" s="6">
        <v>0</v>
      </c>
      <c r="E5" s="6"/>
    </row>
    <row r="6" spans="1:5" x14ac:dyDescent="0.45">
      <c r="A6" s="20" t="s">
        <v>49</v>
      </c>
      <c r="B6" s="6" t="s">
        <v>10</v>
      </c>
      <c r="C6" s="6">
        <v>1</v>
      </c>
      <c r="D6" s="6">
        <v>0</v>
      </c>
      <c r="E6" s="6"/>
    </row>
    <row r="7" spans="1:5" x14ac:dyDescent="0.45">
      <c r="A7" s="20" t="s">
        <v>236</v>
      </c>
      <c r="B7" s="6" t="s">
        <v>12</v>
      </c>
      <c r="C7" s="25">
        <v>1</v>
      </c>
      <c r="D7" s="25">
        <v>0</v>
      </c>
      <c r="E7" s="6"/>
    </row>
    <row r="8" spans="1:5" x14ac:dyDescent="0.45">
      <c r="A8" s="20" t="s">
        <v>239</v>
      </c>
      <c r="B8" s="6" t="s">
        <v>10</v>
      </c>
      <c r="C8" s="25">
        <v>1</v>
      </c>
      <c r="D8" s="25">
        <v>0</v>
      </c>
      <c r="E8" s="6"/>
    </row>
  </sheetData>
  <dataValidations count="1">
    <dataValidation type="list" allowBlank="1" showInputMessage="1" showErrorMessage="1" sqref="B2:B7" xr:uid="{9540D7D2-AE57-4F9D-969C-D5C627B260A9}">
      <formula1>#REF!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65E6-C226-4383-8606-487ECCD2AF3C}">
  <dimension ref="A1:E4"/>
  <sheetViews>
    <sheetView workbookViewId="0">
      <selection activeCell="E1" sqref="E1:E1048576"/>
    </sheetView>
  </sheetViews>
  <sheetFormatPr defaultRowHeight="14.25" x14ac:dyDescent="0.45"/>
  <cols>
    <col min="1" max="1" width="13.1328125" bestFit="1" customWidth="1"/>
    <col min="2" max="2" width="10.265625" bestFit="1" customWidth="1"/>
    <col min="3" max="3" width="8" customWidth="1"/>
    <col min="4" max="4" width="46" bestFit="1" customWidth="1"/>
    <col min="5" max="5" width="37.265625" bestFit="1" customWidth="1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5" t="s">
        <v>64</v>
      </c>
      <c r="B2" s="6" t="s">
        <v>10</v>
      </c>
      <c r="C2" s="6">
        <v>1</v>
      </c>
      <c r="D2" s="6" t="s">
        <v>248</v>
      </c>
      <c r="E2" s="5"/>
    </row>
    <row r="3" spans="1:5" x14ac:dyDescent="0.45">
      <c r="A3" s="5" t="s">
        <v>212</v>
      </c>
      <c r="B3" s="6" t="s">
        <v>10</v>
      </c>
      <c r="C3" s="6">
        <v>1</v>
      </c>
      <c r="D3" s="6" t="s">
        <v>249</v>
      </c>
      <c r="E3" s="5"/>
    </row>
    <row r="4" spans="1:5" x14ac:dyDescent="0.45">
      <c r="A4" s="5" t="s">
        <v>66</v>
      </c>
      <c r="B4" s="6" t="s">
        <v>10</v>
      </c>
      <c r="C4" s="6">
        <v>1</v>
      </c>
      <c r="D4" s="6">
        <v>1</v>
      </c>
      <c r="E4" s="6"/>
    </row>
  </sheetData>
  <dataValidations count="1">
    <dataValidation type="list" allowBlank="1" showInputMessage="1" showErrorMessage="1" sqref="B2:B4" xr:uid="{63C7D90A-134C-47DF-9827-26BD3A734137}">
      <formula1>#REF!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2C64-D906-4B5E-8BA3-42B5A91C3C95}">
  <dimension ref="A1:E7"/>
  <sheetViews>
    <sheetView workbookViewId="0">
      <selection activeCell="E1" sqref="E1:E1048576"/>
    </sheetView>
  </sheetViews>
  <sheetFormatPr defaultRowHeight="14.25" x14ac:dyDescent="0.45"/>
  <cols>
    <col min="1" max="1" width="14.86328125" bestFit="1" customWidth="1"/>
    <col min="2" max="2" width="10.265625" bestFit="1" customWidth="1"/>
    <col min="3" max="3" width="6" bestFit="1" customWidth="1"/>
    <col min="4" max="4" width="8.3984375" customWidth="1"/>
    <col min="5" max="5" width="12.1328125" bestFit="1" customWidth="1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5" t="s">
        <v>45</v>
      </c>
      <c r="B2" s="6" t="s">
        <v>16</v>
      </c>
      <c r="C2" s="6">
        <v>3</v>
      </c>
      <c r="D2" s="6">
        <v>0</v>
      </c>
      <c r="E2" s="6"/>
    </row>
    <row r="3" spans="1:5" x14ac:dyDescent="0.45">
      <c r="A3" s="5" t="s">
        <v>46</v>
      </c>
      <c r="B3" s="6" t="s">
        <v>16</v>
      </c>
      <c r="C3" s="6">
        <v>3</v>
      </c>
      <c r="D3" s="6">
        <v>0</v>
      </c>
      <c r="E3" s="6"/>
    </row>
    <row r="4" spans="1:5" x14ac:dyDescent="0.45">
      <c r="A4" s="5" t="s">
        <v>47</v>
      </c>
      <c r="B4" s="6" t="s">
        <v>12</v>
      </c>
      <c r="C4" s="6">
        <v>1</v>
      </c>
      <c r="D4" s="6">
        <v>0</v>
      </c>
      <c r="E4" s="6"/>
    </row>
    <row r="5" spans="1:5" x14ac:dyDescent="0.45">
      <c r="A5" s="5" t="s">
        <v>48</v>
      </c>
      <c r="B5" s="6" t="s">
        <v>16</v>
      </c>
      <c r="C5" s="6">
        <v>1</v>
      </c>
      <c r="D5" s="6">
        <v>0</v>
      </c>
      <c r="E5" s="6"/>
    </row>
    <row r="6" spans="1:5" x14ac:dyDescent="0.45">
      <c r="A6" s="20" t="s">
        <v>49</v>
      </c>
      <c r="B6" s="6" t="s">
        <v>10</v>
      </c>
      <c r="C6" s="6">
        <v>1</v>
      </c>
      <c r="D6" s="6">
        <v>0</v>
      </c>
      <c r="E6" s="6"/>
    </row>
    <row r="7" spans="1:5" x14ac:dyDescent="0.45">
      <c r="A7" s="20" t="s">
        <v>236</v>
      </c>
      <c r="B7" s="6" t="s">
        <v>12</v>
      </c>
      <c r="C7" s="25">
        <v>1</v>
      </c>
      <c r="D7" s="25">
        <v>0</v>
      </c>
      <c r="E7" s="6"/>
    </row>
  </sheetData>
  <dataValidations count="1">
    <dataValidation type="list" allowBlank="1" showInputMessage="1" showErrorMessage="1" sqref="B2:B7" xr:uid="{2BDD874B-074A-4B8C-819A-2B058F7A1E4E}">
      <formula1>#REF!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3E56-912B-44AA-B348-194EC8AF052A}">
  <dimension ref="A1:E4"/>
  <sheetViews>
    <sheetView workbookViewId="0">
      <selection activeCell="E1" sqref="E1:E1048576"/>
    </sheetView>
  </sheetViews>
  <sheetFormatPr defaultRowHeight="14.25" x14ac:dyDescent="0.45"/>
  <cols>
    <col min="1" max="1" width="13.1328125" bestFit="1" customWidth="1"/>
    <col min="2" max="2" width="10.265625" bestFit="1" customWidth="1"/>
    <col min="3" max="3" width="6" bestFit="1" customWidth="1"/>
    <col min="4" max="4" width="44.73046875" bestFit="1" customWidth="1"/>
    <col min="5" max="5" width="36.1328125" bestFit="1" customWidth="1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5" t="s">
        <v>64</v>
      </c>
      <c r="B2" s="6" t="s">
        <v>10</v>
      </c>
      <c r="C2" s="6">
        <v>1</v>
      </c>
      <c r="D2" s="6" t="s">
        <v>250</v>
      </c>
      <c r="E2" s="5"/>
    </row>
    <row r="3" spans="1:5" x14ac:dyDescent="0.45">
      <c r="A3" s="5" t="s">
        <v>212</v>
      </c>
      <c r="B3" s="6" t="s">
        <v>10</v>
      </c>
      <c r="C3" s="6">
        <v>1</v>
      </c>
      <c r="D3" s="6" t="s">
        <v>251</v>
      </c>
      <c r="E3" s="5"/>
    </row>
    <row r="4" spans="1:5" x14ac:dyDescent="0.45">
      <c r="A4" s="5" t="s">
        <v>66</v>
      </c>
      <c r="B4" s="6" t="s">
        <v>10</v>
      </c>
      <c r="C4" s="6">
        <v>1</v>
      </c>
      <c r="D4" s="6">
        <v>1</v>
      </c>
      <c r="E4" s="6"/>
    </row>
  </sheetData>
  <dataValidations count="1">
    <dataValidation type="list" allowBlank="1" showInputMessage="1" showErrorMessage="1" sqref="B2:B4" xr:uid="{BF14AD3C-1036-43FA-AC59-7A473EF22299}">
      <formula1>#REF!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490D-25F4-4CB8-AACA-43EA56BE7546}">
  <dimension ref="A1:E6"/>
  <sheetViews>
    <sheetView workbookViewId="0">
      <selection activeCell="E1" sqref="E1:E1048576"/>
    </sheetView>
  </sheetViews>
  <sheetFormatPr defaultRowHeight="14.25" x14ac:dyDescent="0.45"/>
  <cols>
    <col min="1" max="1" width="22.265625" bestFit="1" customWidth="1"/>
    <col min="2" max="2" width="10.265625" bestFit="1" customWidth="1"/>
    <col min="3" max="3" width="6" bestFit="1" customWidth="1"/>
    <col min="4" max="4" width="8.59765625" customWidth="1"/>
    <col min="5" max="5" width="12.1328125" bestFit="1" customWidth="1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5" t="s">
        <v>50</v>
      </c>
      <c r="B2" s="6" t="s">
        <v>16</v>
      </c>
      <c r="C2" s="6">
        <v>3</v>
      </c>
      <c r="D2" s="6">
        <v>0</v>
      </c>
      <c r="E2" s="6"/>
    </row>
    <row r="3" spans="1:5" x14ac:dyDescent="0.45">
      <c r="A3" s="5" t="s">
        <v>48</v>
      </c>
      <c r="B3" s="6" t="s">
        <v>16</v>
      </c>
      <c r="C3" s="6">
        <v>1</v>
      </c>
      <c r="D3" s="6">
        <v>0</v>
      </c>
      <c r="E3" s="6"/>
    </row>
    <row r="4" spans="1:5" x14ac:dyDescent="0.45">
      <c r="A4" s="5" t="s">
        <v>93</v>
      </c>
      <c r="B4" s="6" t="s">
        <v>10</v>
      </c>
      <c r="C4" s="6">
        <v>1</v>
      </c>
      <c r="D4" s="6">
        <v>0</v>
      </c>
      <c r="E4" s="6"/>
    </row>
    <row r="5" spans="1:5" x14ac:dyDescent="0.45">
      <c r="A5" s="20" t="s">
        <v>49</v>
      </c>
      <c r="B5" s="6" t="s">
        <v>10</v>
      </c>
      <c r="C5" s="6">
        <v>1</v>
      </c>
      <c r="D5" s="6">
        <v>0</v>
      </c>
      <c r="E5" s="6"/>
    </row>
    <row r="6" spans="1:5" x14ac:dyDescent="0.45">
      <c r="A6" s="20" t="s">
        <v>236</v>
      </c>
      <c r="B6" s="6" t="s">
        <v>12</v>
      </c>
      <c r="C6" s="25">
        <v>1</v>
      </c>
      <c r="D6" s="25">
        <v>0</v>
      </c>
      <c r="E6" s="6"/>
    </row>
  </sheetData>
  <dataValidations count="1">
    <dataValidation type="list" allowBlank="1" showInputMessage="1" showErrorMessage="1" sqref="B2:B6" xr:uid="{3A4ACDAC-7E31-4FA1-806F-981129ECF959}">
      <formula1>#REF!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E108-4449-420A-99EE-6FC60EC17D12}">
  <dimension ref="A1:E4"/>
  <sheetViews>
    <sheetView workbookViewId="0">
      <selection activeCell="E1" sqref="E1:E1048576"/>
    </sheetView>
  </sheetViews>
  <sheetFormatPr defaultRowHeight="14.25" x14ac:dyDescent="0.45"/>
  <cols>
    <col min="1" max="1" width="13.1328125" bestFit="1" customWidth="1"/>
    <col min="2" max="2" width="10.265625" bestFit="1" customWidth="1"/>
    <col min="3" max="3" width="6" bestFit="1" customWidth="1"/>
    <col min="4" max="4" width="34.73046875" bestFit="1" customWidth="1"/>
    <col min="5" max="5" width="25.73046875" bestFit="1" customWidth="1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5" t="s">
        <v>64</v>
      </c>
      <c r="B2" s="6" t="s">
        <v>10</v>
      </c>
      <c r="C2" s="6">
        <v>1</v>
      </c>
      <c r="D2" s="6" t="s">
        <v>253</v>
      </c>
      <c r="E2" s="5"/>
    </row>
    <row r="3" spans="1:5" x14ac:dyDescent="0.45">
      <c r="A3" s="5" t="s">
        <v>65</v>
      </c>
      <c r="B3" s="6" t="s">
        <v>10</v>
      </c>
      <c r="C3" s="6">
        <v>1</v>
      </c>
      <c r="D3" s="6" t="s">
        <v>252</v>
      </c>
      <c r="E3" s="5"/>
    </row>
    <row r="4" spans="1:5" x14ac:dyDescent="0.45">
      <c r="A4" s="5" t="s">
        <v>66</v>
      </c>
      <c r="B4" s="6" t="s">
        <v>10</v>
      </c>
      <c r="C4" s="6">
        <v>1</v>
      </c>
      <c r="D4" s="6">
        <v>1</v>
      </c>
      <c r="E4" s="6"/>
    </row>
  </sheetData>
  <dataValidations count="1">
    <dataValidation type="list" allowBlank="1" showInputMessage="1" showErrorMessage="1" sqref="B2:B4" xr:uid="{3A4A5F3F-3363-4228-A948-8CA8B7C2ABC8}">
      <formula1>#REF!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865B-C8E9-4757-984D-76949A1E0098}">
  <dimension ref="A1:E14"/>
  <sheetViews>
    <sheetView workbookViewId="0">
      <selection activeCell="P17" sqref="P17"/>
    </sheetView>
  </sheetViews>
  <sheetFormatPr defaultColWidth="9.1328125" defaultRowHeight="14.25" x14ac:dyDescent="0.45"/>
  <cols>
    <col min="1" max="1" width="13.1328125" style="17" bestFit="1" customWidth="1"/>
    <col min="2" max="2" width="10.265625" style="17" bestFit="1" customWidth="1"/>
    <col min="3" max="3" width="6" style="17" bestFit="1" customWidth="1"/>
    <col min="4" max="4" width="8" style="17" customWidth="1"/>
    <col min="5" max="5" width="12.1328125" style="17" bestFit="1" customWidth="1"/>
    <col min="6" max="16384" width="9.1328125" style="17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5" t="s">
        <v>38</v>
      </c>
      <c r="B2" s="6" t="s">
        <v>16</v>
      </c>
      <c r="C2" s="6">
        <v>9</v>
      </c>
      <c r="D2" s="6">
        <v>0</v>
      </c>
      <c r="E2" s="6"/>
    </row>
    <row r="3" spans="1:5" x14ac:dyDescent="0.45">
      <c r="A3" s="5" t="s">
        <v>79</v>
      </c>
      <c r="B3" s="6" t="s">
        <v>16</v>
      </c>
      <c r="C3" s="6">
        <v>3</v>
      </c>
      <c r="D3" s="6">
        <v>0</v>
      </c>
      <c r="E3" s="6"/>
    </row>
    <row r="4" spans="1:5" x14ac:dyDescent="0.45">
      <c r="A4" s="5" t="s">
        <v>81</v>
      </c>
      <c r="B4" s="6" t="s">
        <v>16</v>
      </c>
      <c r="C4" s="6">
        <v>3</v>
      </c>
      <c r="D4" s="6">
        <v>0</v>
      </c>
      <c r="E4" s="6"/>
    </row>
    <row r="5" spans="1:5" x14ac:dyDescent="0.45">
      <c r="A5" s="5" t="s">
        <v>80</v>
      </c>
      <c r="B5" s="6" t="s">
        <v>16</v>
      </c>
      <c r="C5" s="6">
        <v>3</v>
      </c>
      <c r="D5" s="6">
        <v>0</v>
      </c>
      <c r="E5" s="6"/>
    </row>
    <row r="6" spans="1:5" x14ac:dyDescent="0.45">
      <c r="A6" s="5" t="s">
        <v>83</v>
      </c>
      <c r="B6" s="6" t="s">
        <v>16</v>
      </c>
      <c r="C6" s="6">
        <v>3</v>
      </c>
      <c r="D6" s="6">
        <v>0</v>
      </c>
      <c r="E6" s="6"/>
    </row>
    <row r="7" spans="1:5" x14ac:dyDescent="0.45">
      <c r="A7" s="5" t="s">
        <v>82</v>
      </c>
      <c r="B7" s="6" t="s">
        <v>16</v>
      </c>
      <c r="C7" s="6">
        <v>3</v>
      </c>
      <c r="D7" s="6">
        <v>0</v>
      </c>
      <c r="E7" s="6"/>
    </row>
    <row r="8" spans="1:5" x14ac:dyDescent="0.45">
      <c r="A8" s="5" t="s">
        <v>84</v>
      </c>
      <c r="B8" s="6" t="s">
        <v>16</v>
      </c>
      <c r="C8" s="6">
        <v>3</v>
      </c>
      <c r="D8" s="6">
        <v>0</v>
      </c>
      <c r="E8" s="6"/>
    </row>
    <row r="9" spans="1:5" x14ac:dyDescent="0.45">
      <c r="A9" s="5" t="s">
        <v>39</v>
      </c>
      <c r="B9" s="6" t="s">
        <v>16</v>
      </c>
      <c r="C9" s="6">
        <v>5</v>
      </c>
      <c r="D9" s="6">
        <v>0</v>
      </c>
      <c r="E9" s="6"/>
    </row>
    <row r="10" spans="1:5" x14ac:dyDescent="0.45">
      <c r="A10" s="5" t="s">
        <v>40</v>
      </c>
      <c r="B10" s="6" t="s">
        <v>16</v>
      </c>
      <c r="C10" s="6">
        <v>5</v>
      </c>
      <c r="D10" s="6">
        <v>0</v>
      </c>
      <c r="E10" s="6"/>
    </row>
    <row r="11" spans="1:5" x14ac:dyDescent="0.45">
      <c r="A11" s="5" t="s">
        <v>41</v>
      </c>
      <c r="B11" s="6" t="s">
        <v>16</v>
      </c>
      <c r="C11" s="6">
        <v>5</v>
      </c>
      <c r="D11" s="6">
        <v>0</v>
      </c>
      <c r="E11" s="6"/>
    </row>
    <row r="12" spans="1:5" x14ac:dyDescent="0.45">
      <c r="A12" s="5" t="s">
        <v>42</v>
      </c>
      <c r="B12" s="6" t="s">
        <v>16</v>
      </c>
      <c r="C12" s="6">
        <v>5</v>
      </c>
      <c r="D12" s="6">
        <v>0</v>
      </c>
      <c r="E12" s="6"/>
    </row>
    <row r="13" spans="1:5" x14ac:dyDescent="0.45">
      <c r="A13" s="5" t="s">
        <v>43</v>
      </c>
      <c r="B13" s="6" t="s">
        <v>16</v>
      </c>
      <c r="C13" s="6">
        <v>5</v>
      </c>
      <c r="D13" s="6">
        <v>0</v>
      </c>
      <c r="E13" s="6"/>
    </row>
    <row r="14" spans="1:5" x14ac:dyDescent="0.45">
      <c r="A14" s="5" t="s">
        <v>44</v>
      </c>
      <c r="B14" s="6" t="s">
        <v>16</v>
      </c>
      <c r="C14" s="6">
        <v>5</v>
      </c>
      <c r="D14" s="6">
        <v>0</v>
      </c>
      <c r="E14" s="6"/>
    </row>
  </sheetData>
  <dataValidations count="1">
    <dataValidation type="list" allowBlank="1" showInputMessage="1" showErrorMessage="1" sqref="B2:B14" xr:uid="{B5908F5E-33BD-4399-95CD-7F54301D7678}">
      <formula1>#REF!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D196-F699-4009-B1C1-F143EDBA53F3}">
  <dimension ref="A1:E17"/>
  <sheetViews>
    <sheetView workbookViewId="0">
      <selection activeCell="E1" sqref="E1:E1048576"/>
    </sheetView>
  </sheetViews>
  <sheetFormatPr defaultColWidth="9.1328125" defaultRowHeight="14.25" x14ac:dyDescent="0.45"/>
  <cols>
    <col min="1" max="1" width="13.1328125" style="17" bestFit="1" customWidth="1"/>
    <col min="2" max="2" width="10.265625" style="17" bestFit="1" customWidth="1"/>
    <col min="3" max="3" width="6" style="17" bestFit="1" customWidth="1"/>
    <col min="4" max="4" width="8.3984375" style="17" customWidth="1"/>
    <col min="5" max="5" width="12.1328125" style="17" bestFit="1" customWidth="1"/>
    <col min="6" max="16384" width="9.1328125" style="17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5" t="s">
        <v>38</v>
      </c>
      <c r="B2" s="6" t="s">
        <v>16</v>
      </c>
      <c r="C2" s="6">
        <v>9</v>
      </c>
      <c r="D2" s="6">
        <v>0</v>
      </c>
      <c r="E2" s="6"/>
    </row>
    <row r="3" spans="1:5" x14ac:dyDescent="0.45">
      <c r="A3" s="5" t="s">
        <v>79</v>
      </c>
      <c r="B3" s="6" t="s">
        <v>16</v>
      </c>
      <c r="C3" s="6">
        <v>3</v>
      </c>
      <c r="D3" s="6">
        <v>0</v>
      </c>
      <c r="E3" s="6"/>
    </row>
    <row r="4" spans="1:5" x14ac:dyDescent="0.45">
      <c r="A4" s="5" t="s">
        <v>81</v>
      </c>
      <c r="B4" s="6" t="s">
        <v>16</v>
      </c>
      <c r="C4" s="6">
        <v>3</v>
      </c>
      <c r="D4" s="6">
        <v>0</v>
      </c>
      <c r="E4" s="6"/>
    </row>
    <row r="5" spans="1:5" x14ac:dyDescent="0.45">
      <c r="A5" s="5" t="s">
        <v>80</v>
      </c>
      <c r="B5" s="6" t="s">
        <v>16</v>
      </c>
      <c r="C5" s="6">
        <v>3</v>
      </c>
      <c r="D5" s="6">
        <v>0</v>
      </c>
      <c r="E5" s="6"/>
    </row>
    <row r="6" spans="1:5" x14ac:dyDescent="0.45">
      <c r="A6" s="5" t="s">
        <v>83</v>
      </c>
      <c r="B6" s="6" t="s">
        <v>16</v>
      </c>
      <c r="C6" s="6">
        <v>3</v>
      </c>
      <c r="D6" s="6">
        <v>0</v>
      </c>
      <c r="E6" s="6"/>
    </row>
    <row r="7" spans="1:5" x14ac:dyDescent="0.45">
      <c r="A7" s="5" t="s">
        <v>82</v>
      </c>
      <c r="B7" s="6" t="s">
        <v>16</v>
      </c>
      <c r="C7" s="6">
        <v>3</v>
      </c>
      <c r="D7" s="6">
        <v>0</v>
      </c>
      <c r="E7" s="6"/>
    </row>
    <row r="8" spans="1:5" x14ac:dyDescent="0.45">
      <c r="A8" s="5" t="s">
        <v>84</v>
      </c>
      <c r="B8" s="6" t="s">
        <v>16</v>
      </c>
      <c r="C8" s="6">
        <v>3</v>
      </c>
      <c r="D8" s="6">
        <v>0</v>
      </c>
      <c r="E8" s="6"/>
    </row>
    <row r="9" spans="1:5" x14ac:dyDescent="0.45">
      <c r="A9" s="5" t="s">
        <v>39</v>
      </c>
      <c r="B9" s="6" t="s">
        <v>16</v>
      </c>
      <c r="C9" s="6">
        <v>5</v>
      </c>
      <c r="D9" s="6">
        <v>0</v>
      </c>
      <c r="E9" s="6"/>
    </row>
    <row r="10" spans="1:5" x14ac:dyDescent="0.45">
      <c r="A10" s="5" t="s">
        <v>40</v>
      </c>
      <c r="B10" s="6" t="s">
        <v>16</v>
      </c>
      <c r="C10" s="6">
        <v>5</v>
      </c>
      <c r="D10" s="6">
        <v>0</v>
      </c>
      <c r="E10" s="6"/>
    </row>
    <row r="11" spans="1:5" x14ac:dyDescent="0.45">
      <c r="A11" s="5" t="s">
        <v>41</v>
      </c>
      <c r="B11" s="6" t="s">
        <v>16</v>
      </c>
      <c r="C11" s="6">
        <v>5</v>
      </c>
      <c r="D11" s="6">
        <v>0</v>
      </c>
      <c r="E11" s="6"/>
    </row>
    <row r="12" spans="1:5" x14ac:dyDescent="0.45">
      <c r="A12" s="5" t="s">
        <v>76</v>
      </c>
      <c r="B12" s="6" t="s">
        <v>16</v>
      </c>
      <c r="C12" s="6">
        <v>42</v>
      </c>
      <c r="D12" s="6">
        <v>0</v>
      </c>
      <c r="E12" s="6"/>
    </row>
    <row r="13" spans="1:5" x14ac:dyDescent="0.45">
      <c r="A13" s="5" t="s">
        <v>77</v>
      </c>
      <c r="B13" s="6" t="s">
        <v>16</v>
      </c>
      <c r="C13" s="6">
        <v>42</v>
      </c>
      <c r="D13" s="6">
        <v>0</v>
      </c>
      <c r="E13" s="6"/>
    </row>
    <row r="14" spans="1:5" x14ac:dyDescent="0.45">
      <c r="A14" s="5" t="s">
        <v>78</v>
      </c>
      <c r="B14" s="6" t="s">
        <v>16</v>
      </c>
      <c r="C14" s="6">
        <v>42</v>
      </c>
      <c r="D14" s="6">
        <v>0</v>
      </c>
      <c r="E14" s="6"/>
    </row>
    <row r="15" spans="1:5" x14ac:dyDescent="0.45">
      <c r="A15" s="20" t="s">
        <v>61</v>
      </c>
      <c r="B15" s="6" t="s">
        <v>16</v>
      </c>
      <c r="C15" s="6">
        <v>43</v>
      </c>
      <c r="D15" s="6">
        <v>0</v>
      </c>
      <c r="E15" s="6"/>
    </row>
    <row r="16" spans="1:5" x14ac:dyDescent="0.45">
      <c r="A16" s="20" t="s">
        <v>62</v>
      </c>
      <c r="B16" s="6" t="s">
        <v>16</v>
      </c>
      <c r="C16" s="6">
        <v>43</v>
      </c>
      <c r="D16" s="6">
        <v>0</v>
      </c>
      <c r="E16" s="6"/>
    </row>
    <row r="17" spans="1:5" x14ac:dyDescent="0.45">
      <c r="A17" s="20" t="s">
        <v>63</v>
      </c>
      <c r="B17" s="6" t="s">
        <v>16</v>
      </c>
      <c r="C17" s="6">
        <v>43</v>
      </c>
      <c r="D17" s="6">
        <v>0</v>
      </c>
      <c r="E17" s="6"/>
    </row>
  </sheetData>
  <dataValidations count="1">
    <dataValidation type="list" allowBlank="1" showInputMessage="1" showErrorMessage="1" sqref="B2:B17" xr:uid="{EC364EA5-5563-411C-B9FF-C311F69C1300}">
      <formula1>#REF!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A1E1-39BE-4D0D-AD27-D55760DDC9B7}">
  <dimension ref="A1:E13"/>
  <sheetViews>
    <sheetView workbookViewId="0">
      <selection activeCell="E1" sqref="E1:E1048576"/>
    </sheetView>
  </sheetViews>
  <sheetFormatPr defaultColWidth="9.1328125" defaultRowHeight="14.25" x14ac:dyDescent="0.45"/>
  <cols>
    <col min="1" max="1" width="13.1328125" style="17" bestFit="1" customWidth="1"/>
    <col min="2" max="2" width="10.265625" style="17" bestFit="1" customWidth="1"/>
    <col min="3" max="3" width="6" style="17" bestFit="1" customWidth="1"/>
    <col min="4" max="4" width="8.59765625" style="17" customWidth="1"/>
    <col min="5" max="5" width="12.1328125" style="17" bestFit="1" customWidth="1"/>
    <col min="6" max="16384" width="9.1328125" style="17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5" t="s">
        <v>79</v>
      </c>
      <c r="B2" s="6" t="s">
        <v>16</v>
      </c>
      <c r="C2" s="6">
        <v>1</v>
      </c>
      <c r="D2" s="6">
        <v>0</v>
      </c>
      <c r="E2" s="6"/>
    </row>
    <row r="3" spans="1:5" x14ac:dyDescent="0.45">
      <c r="A3" s="5" t="s">
        <v>81</v>
      </c>
      <c r="B3" s="6" t="s">
        <v>16</v>
      </c>
      <c r="C3" s="6">
        <v>1</v>
      </c>
      <c r="D3" s="6">
        <v>0</v>
      </c>
      <c r="E3" s="6"/>
    </row>
    <row r="4" spans="1:5" x14ac:dyDescent="0.45">
      <c r="A4" s="5" t="s">
        <v>80</v>
      </c>
      <c r="B4" s="6" t="s">
        <v>16</v>
      </c>
      <c r="C4" s="6">
        <v>1</v>
      </c>
      <c r="D4" s="6">
        <v>0</v>
      </c>
      <c r="E4" s="6"/>
    </row>
    <row r="5" spans="1:5" x14ac:dyDescent="0.45">
      <c r="A5" s="5" t="s">
        <v>83</v>
      </c>
      <c r="B5" s="6" t="s">
        <v>16</v>
      </c>
      <c r="C5" s="6">
        <v>1</v>
      </c>
      <c r="D5" s="6">
        <v>0</v>
      </c>
      <c r="E5" s="6"/>
    </row>
    <row r="6" spans="1:5" x14ac:dyDescent="0.45">
      <c r="A6" s="5" t="s">
        <v>82</v>
      </c>
      <c r="B6" s="6" t="s">
        <v>16</v>
      </c>
      <c r="C6" s="6">
        <v>1</v>
      </c>
      <c r="D6" s="6">
        <v>0</v>
      </c>
      <c r="E6" s="6"/>
    </row>
    <row r="7" spans="1:5" x14ac:dyDescent="0.45">
      <c r="A7" s="5" t="s">
        <v>84</v>
      </c>
      <c r="B7" s="6" t="s">
        <v>16</v>
      </c>
      <c r="C7" s="6">
        <v>1</v>
      </c>
      <c r="D7" s="6">
        <v>0</v>
      </c>
      <c r="E7" s="6"/>
    </row>
    <row r="8" spans="1:5" x14ac:dyDescent="0.45">
      <c r="A8" s="5" t="s">
        <v>39</v>
      </c>
      <c r="B8" s="6" t="s">
        <v>16</v>
      </c>
      <c r="C8" s="6">
        <v>1</v>
      </c>
      <c r="D8" s="6">
        <v>0</v>
      </c>
      <c r="E8" s="6"/>
    </row>
    <row r="9" spans="1:5" x14ac:dyDescent="0.45">
      <c r="A9" s="5" t="s">
        <v>40</v>
      </c>
      <c r="B9" s="6" t="s">
        <v>16</v>
      </c>
      <c r="C9" s="6">
        <v>1</v>
      </c>
      <c r="D9" s="6">
        <v>0</v>
      </c>
      <c r="E9" s="6"/>
    </row>
    <row r="10" spans="1:5" x14ac:dyDescent="0.45">
      <c r="A10" s="5" t="s">
        <v>41</v>
      </c>
      <c r="B10" s="6" t="s">
        <v>16</v>
      </c>
      <c r="C10" s="6">
        <v>1</v>
      </c>
      <c r="D10" s="6">
        <v>0</v>
      </c>
      <c r="E10" s="6"/>
    </row>
    <row r="11" spans="1:5" x14ac:dyDescent="0.45">
      <c r="A11" s="5" t="s">
        <v>42</v>
      </c>
      <c r="B11" s="6" t="s">
        <v>16</v>
      </c>
      <c r="C11" s="6">
        <v>1</v>
      </c>
      <c r="D11" s="6">
        <v>0</v>
      </c>
      <c r="E11" s="6"/>
    </row>
    <row r="12" spans="1:5" x14ac:dyDescent="0.45">
      <c r="A12" s="5" t="s">
        <v>43</v>
      </c>
      <c r="B12" s="6" t="s">
        <v>16</v>
      </c>
      <c r="C12" s="6">
        <v>1</v>
      </c>
      <c r="D12" s="6">
        <v>0</v>
      </c>
      <c r="E12" s="6"/>
    </row>
    <row r="13" spans="1:5" x14ac:dyDescent="0.45">
      <c r="A13" s="5" t="s">
        <v>44</v>
      </c>
      <c r="B13" s="6" t="s">
        <v>16</v>
      </c>
      <c r="C13" s="6">
        <v>1</v>
      </c>
      <c r="D13" s="6">
        <v>0</v>
      </c>
      <c r="E13" s="6"/>
    </row>
  </sheetData>
  <phoneticPr fontId="1" type="noConversion"/>
  <dataValidations count="1">
    <dataValidation type="list" allowBlank="1" showInputMessage="1" showErrorMessage="1" sqref="B2:B13" xr:uid="{9B5CD439-7D89-4679-B7D7-579191109689}">
      <formula1>#REF!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6D3A-0A56-4D20-B26C-ABF02F1B608F}">
  <dimension ref="A1:E4"/>
  <sheetViews>
    <sheetView workbookViewId="0">
      <selection activeCell="E1" sqref="E1:E1048576"/>
    </sheetView>
  </sheetViews>
  <sheetFormatPr defaultColWidth="9.1328125" defaultRowHeight="14.25" x14ac:dyDescent="0.45"/>
  <cols>
    <col min="1" max="1" width="13.1328125" style="17" bestFit="1" customWidth="1"/>
    <col min="2" max="2" width="10.265625" style="17" bestFit="1" customWidth="1"/>
    <col min="3" max="3" width="6" style="17" bestFit="1" customWidth="1"/>
    <col min="4" max="4" width="8.3984375" style="17" customWidth="1"/>
    <col min="5" max="5" width="12.1328125" style="17" bestFit="1" customWidth="1"/>
    <col min="6" max="16384" width="9.1328125" style="17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5" t="s">
        <v>67</v>
      </c>
      <c r="B2" s="6" t="s">
        <v>16</v>
      </c>
      <c r="C2" s="6">
        <v>1</v>
      </c>
      <c r="D2" s="6">
        <v>0</v>
      </c>
      <c r="E2" s="6"/>
    </row>
    <row r="3" spans="1:5" x14ac:dyDescent="0.45">
      <c r="A3" s="5" t="s">
        <v>68</v>
      </c>
      <c r="B3" s="6" t="s">
        <v>16</v>
      </c>
      <c r="C3" s="6">
        <v>1</v>
      </c>
      <c r="D3" s="6">
        <v>0</v>
      </c>
      <c r="E3" s="6"/>
    </row>
    <row r="4" spans="1:5" x14ac:dyDescent="0.45">
      <c r="A4" s="5" t="s">
        <v>69</v>
      </c>
      <c r="B4" s="6" t="s">
        <v>16</v>
      </c>
      <c r="C4" s="6">
        <v>1</v>
      </c>
      <c r="D4" s="6">
        <v>0</v>
      </c>
      <c r="E4" s="6"/>
    </row>
  </sheetData>
  <dataValidations count="1">
    <dataValidation type="list" allowBlank="1" showInputMessage="1" showErrorMessage="1" sqref="B2:B4" xr:uid="{0CE2B3EC-F7E2-4FF3-B43C-9155C47E8647}">
      <formula1>#REF!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F55E-49A0-4E68-BD86-02DC8FB7B840}">
  <dimension ref="A1:E4"/>
  <sheetViews>
    <sheetView workbookViewId="0">
      <selection activeCell="E1" sqref="E1:E1048576"/>
    </sheetView>
  </sheetViews>
  <sheetFormatPr defaultColWidth="9.1328125" defaultRowHeight="14.25" x14ac:dyDescent="0.45"/>
  <cols>
    <col min="1" max="1" width="13.1328125" style="17" bestFit="1" customWidth="1"/>
    <col min="2" max="2" width="10.265625" style="17" bestFit="1" customWidth="1"/>
    <col min="3" max="3" width="6" style="17" bestFit="1" customWidth="1"/>
    <col min="4" max="4" width="9.3984375" style="17" customWidth="1"/>
    <col min="5" max="5" width="12.1328125" style="17" bestFit="1" customWidth="1"/>
    <col min="6" max="16384" width="9.1328125" style="17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5" t="s">
        <v>67</v>
      </c>
      <c r="B2" s="6" t="s">
        <v>13</v>
      </c>
      <c r="C2" s="6">
        <v>1</v>
      </c>
      <c r="D2" s="6">
        <v>0</v>
      </c>
      <c r="E2" s="6"/>
    </row>
    <row r="3" spans="1:5" x14ac:dyDescent="0.45">
      <c r="A3" s="5" t="s">
        <v>68</v>
      </c>
      <c r="B3" s="6" t="s">
        <v>13</v>
      </c>
      <c r="C3" s="6">
        <v>1</v>
      </c>
      <c r="D3" s="6">
        <v>0</v>
      </c>
      <c r="E3" s="6"/>
    </row>
    <row r="4" spans="1:5" x14ac:dyDescent="0.45">
      <c r="A4" s="5" t="s">
        <v>69</v>
      </c>
      <c r="B4" s="6" t="s">
        <v>13</v>
      </c>
      <c r="C4" s="6">
        <v>1</v>
      </c>
      <c r="D4" s="6">
        <v>0</v>
      </c>
      <c r="E4" s="6"/>
    </row>
  </sheetData>
  <dataValidations count="1">
    <dataValidation type="list" allowBlank="1" showInputMessage="1" showErrorMessage="1" sqref="B2:B4" xr:uid="{0C82A449-46E8-47DF-94C2-36F0516EC5AF}">
      <formula1>#REF!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539F-713D-413B-B5BA-210A91D1D94B}">
  <dimension ref="A1:E4"/>
  <sheetViews>
    <sheetView workbookViewId="0">
      <selection activeCell="E1" sqref="E1:E1048576"/>
    </sheetView>
  </sheetViews>
  <sheetFormatPr defaultColWidth="9.1328125" defaultRowHeight="14.25" x14ac:dyDescent="0.45"/>
  <cols>
    <col min="1" max="1" width="13.1328125" style="17" bestFit="1" customWidth="1"/>
    <col min="2" max="2" width="10.265625" style="17" bestFit="1" customWidth="1"/>
    <col min="3" max="3" width="6" style="17" bestFit="1" customWidth="1"/>
    <col min="4" max="4" width="9.3984375" style="17" customWidth="1"/>
    <col min="5" max="5" width="12.1328125" style="17" bestFit="1" customWidth="1"/>
    <col min="6" max="16384" width="9.1328125" style="17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5" t="s">
        <v>67</v>
      </c>
      <c r="B2" s="6" t="s">
        <v>11</v>
      </c>
      <c r="C2" s="6">
        <v>1</v>
      </c>
      <c r="D2" s="6">
        <v>0</v>
      </c>
      <c r="E2" s="6"/>
    </row>
    <row r="3" spans="1:5" x14ac:dyDescent="0.45">
      <c r="A3" s="5" t="s">
        <v>68</v>
      </c>
      <c r="B3" s="6" t="s">
        <v>11</v>
      </c>
      <c r="C3" s="6">
        <v>1</v>
      </c>
      <c r="D3" s="6">
        <v>0</v>
      </c>
      <c r="E3" s="6"/>
    </row>
    <row r="4" spans="1:5" x14ac:dyDescent="0.45">
      <c r="A4" s="5" t="s">
        <v>69</v>
      </c>
      <c r="B4" s="6" t="s">
        <v>11</v>
      </c>
      <c r="C4" s="6">
        <v>1</v>
      </c>
      <c r="D4" s="6">
        <v>0</v>
      </c>
      <c r="E4" s="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4AE7-3A71-4113-BD04-BBA388612646}">
  <dimension ref="A1:E15"/>
  <sheetViews>
    <sheetView workbookViewId="0">
      <selection activeCell="D16" sqref="D16"/>
    </sheetView>
  </sheetViews>
  <sheetFormatPr defaultColWidth="9.1328125" defaultRowHeight="14.25" x14ac:dyDescent="0.45"/>
  <cols>
    <col min="1" max="1" width="21.59765625" style="17" bestFit="1" customWidth="1"/>
    <col min="2" max="2" width="14.73046875" style="17" customWidth="1"/>
    <col min="3" max="3" width="6" style="17" bestFit="1" customWidth="1"/>
    <col min="4" max="4" width="12.86328125" style="17" bestFit="1" customWidth="1"/>
    <col min="5" max="5" width="61.3984375" style="17" customWidth="1"/>
    <col min="6" max="16384" width="9.1328125" style="17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9" t="s">
        <v>121</v>
      </c>
      <c r="B2" s="6" t="s">
        <v>10</v>
      </c>
      <c r="C2" s="6">
        <v>1</v>
      </c>
      <c r="D2" s="6">
        <v>0</v>
      </c>
      <c r="E2" s="21" t="s">
        <v>133</v>
      </c>
    </row>
    <row r="3" spans="1:5" x14ac:dyDescent="0.45">
      <c r="A3" s="9" t="s">
        <v>122</v>
      </c>
      <c r="B3" s="6" t="s">
        <v>10</v>
      </c>
      <c r="C3" s="6">
        <v>1</v>
      </c>
      <c r="D3" s="6">
        <v>0</v>
      </c>
      <c r="E3" s="21" t="s">
        <v>133</v>
      </c>
    </row>
    <row r="4" spans="1:5" x14ac:dyDescent="0.45">
      <c r="A4" s="9" t="s">
        <v>123</v>
      </c>
      <c r="B4" s="6" t="s">
        <v>10</v>
      </c>
      <c r="C4" s="6">
        <v>1</v>
      </c>
      <c r="D4" s="6">
        <v>0</v>
      </c>
      <c r="E4" s="21" t="s">
        <v>133</v>
      </c>
    </row>
    <row r="5" spans="1:5" x14ac:dyDescent="0.45">
      <c r="A5" s="9" t="s">
        <v>124</v>
      </c>
      <c r="B5" s="6" t="s">
        <v>10</v>
      </c>
      <c r="C5" s="6">
        <v>1</v>
      </c>
      <c r="D5" s="6">
        <v>0</v>
      </c>
      <c r="E5" s="21" t="s">
        <v>133</v>
      </c>
    </row>
    <row r="6" spans="1:5" x14ac:dyDescent="0.45">
      <c r="A6" s="9" t="s">
        <v>125</v>
      </c>
      <c r="B6" s="6" t="s">
        <v>10</v>
      </c>
      <c r="C6" s="6">
        <v>1</v>
      </c>
      <c r="D6" s="6">
        <v>0</v>
      </c>
      <c r="E6" s="21" t="s">
        <v>133</v>
      </c>
    </row>
    <row r="7" spans="1:5" x14ac:dyDescent="0.45">
      <c r="A7" s="9" t="s">
        <v>126</v>
      </c>
      <c r="B7" s="6" t="s">
        <v>10</v>
      </c>
      <c r="C7" s="6">
        <v>1</v>
      </c>
      <c r="D7" s="6">
        <v>0</v>
      </c>
      <c r="E7" s="21" t="s">
        <v>133</v>
      </c>
    </row>
    <row r="8" spans="1:5" x14ac:dyDescent="0.45">
      <c r="A8" s="9" t="s">
        <v>127</v>
      </c>
      <c r="B8" s="6" t="s">
        <v>10</v>
      </c>
      <c r="C8" s="6">
        <v>1</v>
      </c>
      <c r="D8" s="6">
        <v>0</v>
      </c>
      <c r="E8" s="21" t="s">
        <v>133</v>
      </c>
    </row>
    <row r="9" spans="1:5" x14ac:dyDescent="0.45">
      <c r="A9" s="9" t="s">
        <v>128</v>
      </c>
      <c r="B9" s="6" t="s">
        <v>10</v>
      </c>
      <c r="C9" s="6">
        <v>1</v>
      </c>
      <c r="D9" s="6">
        <v>0</v>
      </c>
      <c r="E9" s="21" t="s">
        <v>133</v>
      </c>
    </row>
    <row r="10" spans="1:5" x14ac:dyDescent="0.45">
      <c r="A10" s="9" t="s">
        <v>129</v>
      </c>
      <c r="B10" s="6" t="s">
        <v>10</v>
      </c>
      <c r="C10" s="6">
        <v>1</v>
      </c>
      <c r="D10" s="6">
        <v>0</v>
      </c>
      <c r="E10" s="21" t="s">
        <v>133</v>
      </c>
    </row>
    <row r="11" spans="1:5" x14ac:dyDescent="0.45">
      <c r="A11" s="9" t="s">
        <v>130</v>
      </c>
      <c r="B11" s="6" t="s">
        <v>10</v>
      </c>
      <c r="C11" s="6">
        <v>1</v>
      </c>
      <c r="D11" s="6">
        <v>0</v>
      </c>
      <c r="E11" s="21" t="s">
        <v>133</v>
      </c>
    </row>
    <row r="12" spans="1:5" x14ac:dyDescent="0.45">
      <c r="A12" s="9" t="s">
        <v>131</v>
      </c>
      <c r="B12" s="6" t="s">
        <v>10</v>
      </c>
      <c r="C12" s="6">
        <v>1</v>
      </c>
      <c r="D12" s="6">
        <v>0</v>
      </c>
      <c r="E12" s="21" t="s">
        <v>133</v>
      </c>
    </row>
    <row r="13" spans="1:5" x14ac:dyDescent="0.45">
      <c r="A13" s="9" t="s">
        <v>132</v>
      </c>
      <c r="B13" s="6" t="s">
        <v>10</v>
      </c>
      <c r="C13" s="6">
        <v>1</v>
      </c>
      <c r="D13" s="6">
        <v>0</v>
      </c>
      <c r="E13" s="21" t="s">
        <v>133</v>
      </c>
    </row>
    <row r="14" spans="1:5" x14ac:dyDescent="0.45">
      <c r="A14" s="19" t="s">
        <v>75</v>
      </c>
      <c r="B14" s="6" t="s">
        <v>10</v>
      </c>
      <c r="C14" s="6">
        <v>1</v>
      </c>
      <c r="D14" s="6">
        <v>0</v>
      </c>
      <c r="E14" s="6"/>
    </row>
    <row r="15" spans="1:5" x14ac:dyDescent="0.45">
      <c r="A15" s="19" t="s">
        <v>185</v>
      </c>
      <c r="B15" s="6" t="s">
        <v>10</v>
      </c>
      <c r="C15" s="6">
        <v>1</v>
      </c>
      <c r="D15" s="6">
        <v>0</v>
      </c>
      <c r="E15" s="6"/>
    </row>
  </sheetData>
  <dataValidations count="1">
    <dataValidation type="list" allowBlank="1" showInputMessage="1" showErrorMessage="1" sqref="B2:B15" xr:uid="{491933C5-47D7-4355-99FA-44269F03E0E5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F94F-7EA0-4648-8CCE-2AB6C316B8A7}">
  <dimension ref="A1:C6"/>
  <sheetViews>
    <sheetView workbookViewId="0">
      <selection activeCell="A2" sqref="A2"/>
    </sheetView>
  </sheetViews>
  <sheetFormatPr defaultRowHeight="14.25" x14ac:dyDescent="0.45"/>
  <cols>
    <col min="1" max="1" width="19.3984375" bestFit="1" customWidth="1"/>
    <col min="2" max="2" width="10.265625" bestFit="1" customWidth="1"/>
    <col min="3" max="3" width="12.1328125" bestFit="1" customWidth="1"/>
  </cols>
  <sheetData>
    <row r="1" spans="1:3" ht="15.75" x14ac:dyDescent="0.45">
      <c r="A1" s="3" t="s">
        <v>0</v>
      </c>
      <c r="B1" s="3" t="s">
        <v>37</v>
      </c>
      <c r="C1" s="3" t="s">
        <v>1</v>
      </c>
    </row>
    <row r="2" spans="1:3" x14ac:dyDescent="0.45">
      <c r="A2" s="5" t="s">
        <v>87</v>
      </c>
      <c r="B2" s="6">
        <v>0</v>
      </c>
      <c r="C2" s="6"/>
    </row>
    <row r="3" spans="1:3" x14ac:dyDescent="0.45">
      <c r="A3" s="5" t="s">
        <v>86</v>
      </c>
      <c r="B3" s="6">
        <v>1</v>
      </c>
      <c r="C3" s="6"/>
    </row>
    <row r="4" spans="1:3" x14ac:dyDescent="0.45">
      <c r="A4" s="5" t="s">
        <v>88</v>
      </c>
      <c r="B4" s="6">
        <v>2</v>
      </c>
      <c r="C4" s="6"/>
    </row>
    <row r="5" spans="1:3" x14ac:dyDescent="0.45">
      <c r="A5" s="5" t="s">
        <v>89</v>
      </c>
      <c r="B5" s="6">
        <v>3</v>
      </c>
      <c r="C5" s="6"/>
    </row>
    <row r="6" spans="1:3" x14ac:dyDescent="0.45">
      <c r="A6" s="5" t="s">
        <v>98</v>
      </c>
      <c r="B6" s="6">
        <v>4</v>
      </c>
      <c r="C6" s="6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F980-2F83-4408-A0AC-3A4F6DFD8649}">
  <dimension ref="A1:C3"/>
  <sheetViews>
    <sheetView workbookViewId="0">
      <selection activeCell="A2" sqref="A2"/>
    </sheetView>
  </sheetViews>
  <sheetFormatPr defaultRowHeight="14.25" x14ac:dyDescent="0.45"/>
  <cols>
    <col min="1" max="1" width="23.265625" bestFit="1" customWidth="1"/>
    <col min="2" max="2" width="10.265625" bestFit="1" customWidth="1"/>
    <col min="3" max="3" width="12.1328125" bestFit="1" customWidth="1"/>
  </cols>
  <sheetData>
    <row r="1" spans="1:3" ht="15.75" x14ac:dyDescent="0.45">
      <c r="A1" s="3" t="s">
        <v>0</v>
      </c>
      <c r="B1" s="3" t="s">
        <v>37</v>
      </c>
      <c r="C1" s="3" t="s">
        <v>1</v>
      </c>
    </row>
    <row r="2" spans="1:3" x14ac:dyDescent="0.45">
      <c r="A2" s="5" t="s">
        <v>90</v>
      </c>
      <c r="B2" s="6">
        <v>0</v>
      </c>
      <c r="C2" s="6"/>
    </row>
    <row r="3" spans="1:3" x14ac:dyDescent="0.45">
      <c r="A3" s="5" t="s">
        <v>91</v>
      </c>
      <c r="B3" s="6">
        <v>1</v>
      </c>
      <c r="C3" s="6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C1B4-60B4-4211-BA6C-1EA41499B76B}">
  <dimension ref="A1:C6"/>
  <sheetViews>
    <sheetView workbookViewId="0">
      <selection activeCell="B7" sqref="B7"/>
    </sheetView>
  </sheetViews>
  <sheetFormatPr defaultRowHeight="14.25" x14ac:dyDescent="0.45"/>
  <cols>
    <col min="1" max="1" width="23.265625" bestFit="1" customWidth="1"/>
    <col min="2" max="2" width="10.265625" bestFit="1" customWidth="1"/>
    <col min="3" max="3" width="12.1328125" bestFit="1" customWidth="1"/>
  </cols>
  <sheetData>
    <row r="1" spans="1:3" ht="15.75" x14ac:dyDescent="0.45">
      <c r="A1" s="3" t="s">
        <v>0</v>
      </c>
      <c r="B1" s="3" t="s">
        <v>37</v>
      </c>
      <c r="C1" s="3" t="s">
        <v>1</v>
      </c>
    </row>
    <row r="2" spans="1:3" x14ac:dyDescent="0.45">
      <c r="A2" s="5" t="s">
        <v>165</v>
      </c>
      <c r="B2" s="6">
        <v>0</v>
      </c>
      <c r="C2" s="6"/>
    </row>
    <row r="3" spans="1:3" x14ac:dyDescent="0.45">
      <c r="A3" s="5" t="s">
        <v>164</v>
      </c>
      <c r="B3" s="6">
        <v>1</v>
      </c>
      <c r="C3" s="6"/>
    </row>
    <row r="4" spans="1:3" x14ac:dyDescent="0.45">
      <c r="A4" s="5" t="s">
        <v>166</v>
      </c>
      <c r="B4" s="6">
        <v>2</v>
      </c>
      <c r="C4" s="6"/>
    </row>
    <row r="5" spans="1:3" x14ac:dyDescent="0.45">
      <c r="A5" s="5" t="s">
        <v>167</v>
      </c>
      <c r="B5" s="6">
        <v>3</v>
      </c>
      <c r="C5" s="6"/>
    </row>
    <row r="6" spans="1:3" x14ac:dyDescent="0.45">
      <c r="A6" s="5" t="s">
        <v>168</v>
      </c>
      <c r="B6" s="6">
        <v>4</v>
      </c>
      <c r="C6" s="6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07CF-1DFD-44B9-87E2-6A2A4C1FAFC2}">
  <dimension ref="A1:C3"/>
  <sheetViews>
    <sheetView workbookViewId="0">
      <selection activeCell="A4" sqref="A4"/>
    </sheetView>
  </sheetViews>
  <sheetFormatPr defaultRowHeight="14.25" x14ac:dyDescent="0.45"/>
  <cols>
    <col min="1" max="1" width="33.86328125" bestFit="1" customWidth="1"/>
    <col min="2" max="2" width="10.265625" bestFit="1" customWidth="1"/>
    <col min="3" max="3" width="12.1328125" bestFit="1" customWidth="1"/>
  </cols>
  <sheetData>
    <row r="1" spans="1:3" ht="15.75" x14ac:dyDescent="0.45">
      <c r="A1" s="3" t="s">
        <v>0</v>
      </c>
      <c r="B1" s="3" t="s">
        <v>37</v>
      </c>
      <c r="C1" s="3" t="s">
        <v>1</v>
      </c>
    </row>
    <row r="2" spans="1:3" x14ac:dyDescent="0.45">
      <c r="A2" s="5" t="s">
        <v>170</v>
      </c>
      <c r="B2" s="6">
        <v>0</v>
      </c>
      <c r="C2" s="6"/>
    </row>
    <row r="3" spans="1:3" x14ac:dyDescent="0.45">
      <c r="A3" s="5" t="s">
        <v>169</v>
      </c>
      <c r="B3" s="6">
        <v>1</v>
      </c>
      <c r="C3" s="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086F-66FF-4453-8A74-5E247937CE0A}">
  <dimension ref="A1:C3"/>
  <sheetViews>
    <sheetView workbookViewId="0">
      <selection activeCell="A4" sqref="A4"/>
    </sheetView>
  </sheetViews>
  <sheetFormatPr defaultRowHeight="14.25" x14ac:dyDescent="0.45"/>
  <cols>
    <col min="1" max="1" width="33.86328125" bestFit="1" customWidth="1"/>
    <col min="2" max="2" width="10.265625" bestFit="1" customWidth="1"/>
    <col min="3" max="3" width="12.1328125" bestFit="1" customWidth="1"/>
  </cols>
  <sheetData>
    <row r="1" spans="1:3" ht="15.75" x14ac:dyDescent="0.45">
      <c r="A1" s="3" t="s">
        <v>0</v>
      </c>
      <c r="B1" s="3" t="s">
        <v>37</v>
      </c>
      <c r="C1" s="3" t="s">
        <v>1</v>
      </c>
    </row>
    <row r="2" spans="1:3" x14ac:dyDescent="0.45">
      <c r="A2" s="5" t="s">
        <v>172</v>
      </c>
      <c r="B2" s="6">
        <v>0</v>
      </c>
      <c r="C2" s="6"/>
    </row>
    <row r="3" spans="1:3" x14ac:dyDescent="0.45">
      <c r="A3" s="5" t="s">
        <v>171</v>
      </c>
      <c r="B3" s="6">
        <v>1</v>
      </c>
      <c r="C3" s="6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33FE-2926-41C3-BDF1-0B1903F378A3}">
  <dimension ref="A1:C3"/>
  <sheetViews>
    <sheetView workbookViewId="0">
      <selection activeCell="B22" sqref="B22"/>
    </sheetView>
  </sheetViews>
  <sheetFormatPr defaultRowHeight="14.25" x14ac:dyDescent="0.45"/>
  <cols>
    <col min="1" max="1" width="23.3984375" bestFit="1" customWidth="1"/>
    <col min="2" max="2" width="10.265625" bestFit="1" customWidth="1"/>
    <col min="3" max="3" width="52.1328125" bestFit="1" customWidth="1"/>
  </cols>
  <sheetData>
    <row r="1" spans="1:3" ht="15.75" x14ac:dyDescent="0.45">
      <c r="A1" s="3" t="s">
        <v>0</v>
      </c>
      <c r="B1" s="3" t="s">
        <v>37</v>
      </c>
      <c r="C1" s="3" t="s">
        <v>1</v>
      </c>
    </row>
    <row r="2" spans="1:3" x14ac:dyDescent="0.45">
      <c r="A2" s="2" t="s">
        <v>203</v>
      </c>
      <c r="B2" s="6">
        <v>0</v>
      </c>
      <c r="C2" s="6"/>
    </row>
    <row r="3" spans="1:3" x14ac:dyDescent="0.45">
      <c r="A3" s="2" t="s">
        <v>204</v>
      </c>
      <c r="B3" s="6">
        <v>1</v>
      </c>
      <c r="C3" s="6" t="s">
        <v>205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8EAA-417A-45BE-ACA0-78D78EE5C506}">
  <dimension ref="A1:E9"/>
  <sheetViews>
    <sheetView workbookViewId="0">
      <selection activeCell="A10" sqref="A10:XFD10"/>
    </sheetView>
  </sheetViews>
  <sheetFormatPr defaultRowHeight="14.25" x14ac:dyDescent="0.45"/>
  <cols>
    <col min="1" max="1" width="21" customWidth="1"/>
    <col min="2" max="2" width="10.265625" bestFit="1" customWidth="1"/>
    <col min="3" max="4" width="8" customWidth="1"/>
    <col min="5" max="5" width="37.265625" bestFit="1" customWidth="1"/>
  </cols>
  <sheetData>
    <row r="1" spans="1:5" ht="31.5" x14ac:dyDescent="0.45">
      <c r="A1" s="3" t="s">
        <v>0</v>
      </c>
      <c r="B1" s="3" t="s">
        <v>34</v>
      </c>
      <c r="C1" s="14" t="s">
        <v>35</v>
      </c>
      <c r="D1" s="14" t="s">
        <v>188</v>
      </c>
      <c r="E1" s="3" t="s">
        <v>1</v>
      </c>
    </row>
    <row r="2" spans="1:5" x14ac:dyDescent="0.45">
      <c r="A2" s="9" t="s">
        <v>209</v>
      </c>
      <c r="B2" s="6" t="s">
        <v>10</v>
      </c>
      <c r="C2" s="6">
        <v>1</v>
      </c>
      <c r="D2" s="6">
        <v>1</v>
      </c>
      <c r="E2" s="5"/>
    </row>
    <row r="3" spans="1:5" x14ac:dyDescent="0.45">
      <c r="A3" s="9" t="s">
        <v>210</v>
      </c>
      <c r="B3" s="6" t="s">
        <v>10</v>
      </c>
      <c r="C3" s="6">
        <v>1</v>
      </c>
      <c r="D3" s="6">
        <v>0</v>
      </c>
      <c r="E3" s="5"/>
    </row>
    <row r="4" spans="1:5" x14ac:dyDescent="0.45">
      <c r="A4" s="9" t="s">
        <v>213</v>
      </c>
      <c r="B4" s="6" t="s">
        <v>16</v>
      </c>
      <c r="C4" s="6">
        <v>1</v>
      </c>
      <c r="D4" s="6">
        <v>100</v>
      </c>
      <c r="E4" s="5"/>
    </row>
    <row r="5" spans="1:5" x14ac:dyDescent="0.45">
      <c r="A5" s="9" t="s">
        <v>216</v>
      </c>
      <c r="B5" s="6" t="s">
        <v>16</v>
      </c>
      <c r="C5" s="6">
        <v>1</v>
      </c>
      <c r="D5" s="6">
        <v>100</v>
      </c>
      <c r="E5" s="5"/>
    </row>
    <row r="6" spans="1:5" x14ac:dyDescent="0.45">
      <c r="A6" s="9" t="s">
        <v>214</v>
      </c>
      <c r="B6" s="6" t="s">
        <v>16</v>
      </c>
      <c r="C6" s="6">
        <v>1</v>
      </c>
      <c r="D6" s="6">
        <v>500</v>
      </c>
      <c r="E6" s="5"/>
    </row>
    <row r="7" spans="1:5" x14ac:dyDescent="0.45">
      <c r="A7" s="9" t="s">
        <v>217</v>
      </c>
      <c r="B7" s="6" t="s">
        <v>16</v>
      </c>
      <c r="C7" s="6">
        <v>1</v>
      </c>
      <c r="D7" s="6">
        <v>500</v>
      </c>
      <c r="E7" s="5"/>
    </row>
    <row r="8" spans="1:5" x14ac:dyDescent="0.45">
      <c r="A8" s="9" t="s">
        <v>215</v>
      </c>
      <c r="B8" s="6" t="s">
        <v>16</v>
      </c>
      <c r="C8" s="6">
        <v>1</v>
      </c>
      <c r="D8" s="6">
        <v>40</v>
      </c>
      <c r="E8" s="5"/>
    </row>
    <row r="9" spans="1:5" x14ac:dyDescent="0.45">
      <c r="A9" s="9" t="s">
        <v>218</v>
      </c>
      <c r="B9" s="6" t="s">
        <v>16</v>
      </c>
      <c r="C9" s="6">
        <v>1</v>
      </c>
      <c r="D9" s="6">
        <v>40</v>
      </c>
      <c r="E9" s="5"/>
    </row>
  </sheetData>
  <dataValidations count="1">
    <dataValidation type="list" allowBlank="1" showInputMessage="1" showErrorMessage="1" sqref="B2:B9" xr:uid="{70D36D35-D161-439C-8ED7-3D3A28776AC6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Internal</vt:lpstr>
      <vt:lpstr>Info</vt:lpstr>
      <vt:lpstr>DefaultUnit</vt:lpstr>
      <vt:lpstr>ParameterList</vt:lpstr>
      <vt:lpstr>eTag1_SettingGroup</vt:lpstr>
      <vt:lpstr>sProfilerData</vt:lpstr>
      <vt:lpstr>sProfilerSetting</vt:lpstr>
      <vt:lpstr>sCalcDebugSignal</vt:lpstr>
      <vt:lpstr>sCalcGeneralData</vt:lpstr>
      <vt:lpstr>sCalcGeneralSetting</vt:lpstr>
      <vt:lpstr>sBoardStartupReport</vt:lpstr>
      <vt:lpstr>sBoardStartupReportItem</vt:lpstr>
      <vt:lpstr>sSensorGyroBmi088Data</vt:lpstr>
      <vt:lpstr>sSensorGyroBmi088Setting</vt:lpstr>
      <vt:lpstr>sSensorAccBmi088Data</vt:lpstr>
      <vt:lpstr>sSensorAccBmi088Setting</vt:lpstr>
      <vt:lpstr>sSensorAccAdxl357Data</vt:lpstr>
      <vt:lpstr>sSensorAccAdxl357Setting</vt:lpstr>
      <vt:lpstr>sSensorCalibCoefA</vt:lpstr>
      <vt:lpstr>sSensorCalibCoefB</vt:lpstr>
      <vt:lpstr>sOutputCalibCoef</vt:lpstr>
      <vt:lpstr>s3d</vt:lpstr>
      <vt:lpstr>s3dI32</vt:lpstr>
      <vt:lpstr>s3dI16</vt:lpstr>
      <vt:lpstr>sFilterSetting</vt:lpstr>
      <vt:lpstr>eFilterType</vt:lpstr>
      <vt:lpstr>eSyncMode</vt:lpstr>
      <vt:lpstr>ePinSelection</vt:lpstr>
      <vt:lpstr>eDataReadyPolarity</vt:lpstr>
      <vt:lpstr>eSyncPolarity</vt:lpstr>
      <vt:lpstr>eConnectedDeviceHostMode</vt:lpstr>
      <vt:lpstr>sPrtlRasta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adel ghaderan</cp:lastModifiedBy>
  <dcterms:created xsi:type="dcterms:W3CDTF">2015-06-05T18:17:20Z</dcterms:created>
  <dcterms:modified xsi:type="dcterms:W3CDTF">2026-06-08T04:30:05Z</dcterms:modified>
</cp:coreProperties>
</file>